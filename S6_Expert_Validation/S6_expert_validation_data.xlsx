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Thinkpad电脑\文件\广东水利电力职业技术学院\我的论文\工信部414号文20260926\投稿-MDPI\专家验证研究材料包_20261008\"/>
    </mc:Choice>
  </mc:AlternateContent>
  <bookViews>
    <workbookView windowWidth="22188" windowHeight="9180" activeTab="1"/>
  </bookViews>
  <sheets>
    <sheet name="使用说明" sheetId="1" r:id="rId1"/>
    <sheet name="专家登记" sheetId="2" r:id="rId2"/>
    <sheet name="条目编码本" sheetId="3" r:id="rId3"/>
    <sheet name="第一轮录入" sheetId="4" r:id="rId4"/>
    <sheet name="前瞻判断" sheetId="5" r:id="rId5"/>
    <sheet name="第一轮结果" sheetId="6" r:id="rId6"/>
    <sheet name="条目修订日志" sheetId="7" r:id="rId7"/>
    <sheet name="第二轮录入" sheetId="8" r:id="rId8"/>
    <sheet name="实施日志" sheetId="9" r:id="rId9"/>
    <sheet name="论文结果模板" sheetId="10" r:id="rId10"/>
  </sheets>
  <definedNames>
    <definedName name="_xlnm._FilterDatabase" localSheetId="0" hidden="1">使用说明!$A$2:$B$8</definedName>
    <definedName name="_xlnm._FilterDatabase" localSheetId="1" hidden="1">专家登记!$A$1:$L$13</definedName>
    <definedName name="_xlnm._FilterDatabase" localSheetId="2" hidden="1">条目编码本!$A$1:$K$43</definedName>
    <definedName name="_xlnm._FilterDatabase" localSheetId="3" hidden="1">第一轮录入!$A$1:$K$505</definedName>
    <definedName name="_xlnm._FilterDatabase" localSheetId="4" hidden="1">前瞻判断!$A$1:$F$61</definedName>
    <definedName name="_xlnm._FilterDatabase" localSheetId="5" hidden="1">第一轮结果!$A$1:$L$43</definedName>
    <definedName name="_xlnm._FilterDatabase" localSheetId="6" hidden="1">条目修订日志!$A$1:$K$66</definedName>
    <definedName name="_xlnm._FilterDatabase" localSheetId="7" hidden="1">第二轮录入!$A$1:$J$277</definedName>
    <definedName name="_xlnm._FilterDatabase" localSheetId="8" hidden="1">实施日志!$A$1:$H$31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<sst xmlns="http://schemas.openxmlformats.org/spreadsheetml/2006/main" count="5955" uniqueCount="573">
  <si>
    <t>专家验证数据工作簿</t>
  </si>
  <si>
    <t>用途</t>
  </si>
  <si>
    <t>用于录入和分析12名专家（E01–E06、V01–V06）的两轮专家验证数据。不得填写专家姓名、手机号或邮箱。</t>
  </si>
  <si>
    <t>工作顺序</t>
  </si>
  <si>
    <t>1专家登记→2第一轮录入→3检查完整性→4查看第一轮结果→5修订记录→6第二轮录入→7运行分析脚本。</t>
  </si>
  <si>
    <t>评分</t>
  </si>
  <si>
    <t>1–4；内容相关性评分3或4视为同意。空白=缺失；禁止用0。</t>
  </si>
  <si>
    <t>核心阈值</t>
  </si>
  <si>
    <t>N=12时，10/12=0.83为保留；9/12=0.75进入修订；≤8/12为删除/合并候选。政策条目需单独审议。</t>
  </si>
  <si>
    <t>伦理</t>
  </si>
  <si>
    <t>正式收集前须完成机构伦理审查/备案。姓名—编号对应表另行加密保存。</t>
  </si>
  <si>
    <t>结果</t>
  </si>
  <si>
    <t>本工作簿不含虚构数据。第一轮结果页仅在完整录入后有效；高级统计由随附Python脚本生成。</t>
  </si>
  <si>
    <t>专家编号</t>
  </si>
  <si>
    <t>专家组</t>
  </si>
  <si>
    <t>纳入标准符合</t>
  </si>
  <si>
    <t>利益冲突已评估</t>
  </si>
  <si>
    <t>知情同意日期</t>
  </si>
  <si>
    <t>R1发放日期</t>
  </si>
  <si>
    <t>R1回收日期</t>
  </si>
  <si>
    <t>R1状态</t>
  </si>
  <si>
    <t>R2发放日期</t>
  </si>
  <si>
    <t>R2回收日期</t>
  </si>
  <si>
    <t>R2状态</t>
  </si>
  <si>
    <t>备注（不得含身份信息）</t>
  </si>
  <si>
    <t>E01</t>
  </si>
  <si>
    <t>企业专家</t>
  </si>
  <si>
    <t>是</t>
  </si>
  <si>
    <t>2026-10-08</t>
  </si>
  <si>
    <t>已回收</t>
  </si>
  <si>
    <t>2026-10-09</t>
  </si>
  <si>
    <t>E02</t>
  </si>
  <si>
    <t>E03</t>
  </si>
  <si>
    <t>E04</t>
  </si>
  <si>
    <t>E05</t>
  </si>
  <si>
    <t>E06</t>
  </si>
  <si>
    <t>V01</t>
  </si>
  <si>
    <t>高职教师</t>
  </si>
  <si>
    <t>V02</t>
  </si>
  <si>
    <t>V03</t>
  </si>
  <si>
    <t>V04</t>
  </si>
  <si>
    <t>V05</t>
  </si>
  <si>
    <t>V06</t>
  </si>
  <si>
    <t>条目编号</t>
  </si>
  <si>
    <t>条目类型</t>
  </si>
  <si>
    <t>能力域</t>
  </si>
  <si>
    <t>条目名称</t>
  </si>
  <si>
    <t>操作性说明</t>
  </si>
  <si>
    <t>D1</t>
  </si>
  <si>
    <t>D2</t>
  </si>
  <si>
    <t>D3</t>
  </si>
  <si>
    <t>D4</t>
  </si>
  <si>
    <t>D5</t>
  </si>
  <si>
    <t>政策明确/风险关键</t>
  </si>
  <si>
    <t>T01</t>
  </si>
  <si>
    <t>能力任务</t>
  </si>
  <si>
    <t>业务与场景</t>
  </si>
  <si>
    <t>需求沟通与需求分析</t>
  </si>
  <si>
    <t>能够通过访谈、观察和资料分析形成可验证的业务需求。</t>
  </si>
  <si>
    <t>内容相关性</t>
  </si>
  <si>
    <t>职业真实性</t>
  </si>
  <si>
    <t>未来三年重要性</t>
  </si>
  <si>
    <t>高职可教性</t>
  </si>
  <si>
    <t>表述清晰度</t>
  </si>
  <si>
    <t>T02</t>
  </si>
  <si>
    <t>行业流程与应用场景分析</t>
  </si>
  <si>
    <t>能够识别流程痛点、数据条件及人工智能适用边界。</t>
  </si>
  <si>
    <t>T03</t>
  </si>
  <si>
    <t>解决方案设计与项目协同</t>
  </si>
  <si>
    <t>能够形成技术—业务方案并参与范围、进度和风险协调。</t>
  </si>
  <si>
    <t>T04</t>
  </si>
  <si>
    <t>模型与应用</t>
  </si>
  <si>
    <t>模型能力边界评估与选型</t>
  </si>
  <si>
    <t>能够依据任务、成本、安全和部署约束选择模型。</t>
  </si>
  <si>
    <t>T05</t>
  </si>
  <si>
    <t>大模型与提示词应用开发</t>
  </si>
  <si>
    <t>能够设计、实现和测试基于大模型的应用功能。</t>
  </si>
  <si>
    <t>T06</t>
  </si>
  <si>
    <t>检索增强生成与知识库开发</t>
  </si>
  <si>
    <t>能够完成数据处理、索引、检索、生成和效果评估。</t>
  </si>
  <si>
    <t>T07</t>
  </si>
  <si>
    <t>智能体设计与编排</t>
  </si>
  <si>
    <t>能够设计任务分解、工具调用、状态管理及人工介入机制。</t>
  </si>
  <si>
    <t>T08</t>
  </si>
  <si>
    <t>模型适配与多模态应用</t>
  </si>
  <si>
    <t>能够根据场景开展轻量化微调或多模态能力集成。</t>
  </si>
  <si>
    <t>否</t>
  </si>
  <si>
    <t>T09</t>
  </si>
  <si>
    <t>安全与治理</t>
  </si>
  <si>
    <t>数据来源、授权、隐私与敏感信息治理</t>
  </si>
  <si>
    <t>能够核验数据合法来源、授权边界并落实隐私保护。</t>
  </si>
  <si>
    <t>T10</t>
  </si>
  <si>
    <t>访问控制与最小权限</t>
  </si>
  <si>
    <t>能够为用户、服务和智能体配置身份、权限及密钥管理。</t>
  </si>
  <si>
    <t>T11</t>
  </si>
  <si>
    <t>幻觉与可靠性评估</t>
  </si>
  <si>
    <t>能够建立事实性、稳定性、可追溯性和拒答能力测试。</t>
  </si>
  <si>
    <t>T12</t>
  </si>
  <si>
    <t>提示注入、越狱与对抗测试</t>
  </si>
  <si>
    <t>能够识别并测试恶意提示、间接注入和防护措施。</t>
  </si>
  <si>
    <t>T13</t>
  </si>
  <si>
    <t>智能体工具调用与权限边界测试</t>
  </si>
  <si>
    <t>能够验证工具白名单、参数约束、确认机制和异常处置。</t>
  </si>
  <si>
    <t>T14</t>
  </si>
  <si>
    <t>日志审计、监测与事件响应</t>
  </si>
  <si>
    <t>能够保留关键日志、识别异常并执行响应和复盘。</t>
  </si>
  <si>
    <t>T15</t>
  </si>
  <si>
    <t>人工智能伦理与业务合规</t>
  </si>
  <si>
    <t>能够识别偏见、版权、责任边界及行业合规要求。</t>
  </si>
  <si>
    <t>T16</t>
  </si>
  <si>
    <t>交付与运维</t>
  </si>
  <si>
    <t>接口开发与系统集成</t>
  </si>
  <si>
    <t>能够通过API、数据库和消息机制集成既有系统。</t>
  </si>
  <si>
    <t>T17</t>
  </si>
  <si>
    <t>容器化与云原生部署</t>
  </si>
  <si>
    <t>能够完成镜像、配置、服务发布、资源管理和回滚。</t>
  </si>
  <si>
    <t>T18</t>
  </si>
  <si>
    <t>测试、上线与验收</t>
  </si>
  <si>
    <t>能够制定测试方案，支持上线并依据指标组织验收。</t>
  </si>
  <si>
    <t>T19</t>
  </si>
  <si>
    <t>监控、运维与故障排查</t>
  </si>
  <si>
    <t>能够监控质量、时延、成本和安全指标并定位故障。</t>
  </si>
  <si>
    <t>T20</t>
  </si>
  <si>
    <t>技术文档、用户培训与交接</t>
  </si>
  <si>
    <t>能够形成可维护文档并完成培训、交接和知识转移。</t>
  </si>
  <si>
    <t>C01</t>
  </si>
  <si>
    <t>课程模块</t>
  </si>
  <si>
    <t>课程体系</t>
  </si>
  <si>
    <t>行业人工智能解决方案设计</t>
  </si>
  <si>
    <t>面向真实行业问题完成场景识别、价值判断与总体方案设计。</t>
  </si>
  <si>
    <t>课程重要性</t>
  </si>
  <si>
    <t>实施可行性</t>
  </si>
  <si>
    <t>C02</t>
  </si>
  <si>
    <t>需求分析与客户沟通</t>
  </si>
  <si>
    <t>训练访谈、流程建模、需求规格和范围确认。</t>
  </si>
  <si>
    <t>C03</t>
  </si>
  <si>
    <t>大模型应用与提示工程</t>
  </si>
  <si>
    <t>训练大模型调用、提示设计、评测与应用开发。</t>
  </si>
  <si>
    <t>C04</t>
  </si>
  <si>
    <t>RAG与企业知识库</t>
  </si>
  <si>
    <t>训练语料治理、检索、生成、评测和持续维护。</t>
  </si>
  <si>
    <t>C05</t>
  </si>
  <si>
    <t>智能体设计与业务流程编排</t>
  </si>
  <si>
    <t>训练任务规划、工具调用、权限控制和人机协同。</t>
  </si>
  <si>
    <t>C06</t>
  </si>
  <si>
    <t>人工智能安全、隐私与合规</t>
  </si>
  <si>
    <t>覆盖数据、模型、应用、智能体和业务治理。</t>
  </si>
  <si>
    <t>C07</t>
  </si>
  <si>
    <t>云原生部署与系统集成</t>
  </si>
  <si>
    <t>训练API、容器、服务编排、发布和回滚。</t>
  </si>
  <si>
    <t>C08</t>
  </si>
  <si>
    <t>智能应用运维与质量监测</t>
  </si>
  <si>
    <t>训练日志、监控、质量评估、成本管理和事件响应。</t>
  </si>
  <si>
    <t>C09</t>
  </si>
  <si>
    <t>项目交付管理与技术文档</t>
  </si>
  <si>
    <t>训练项目协同、测试验收、文档、培训和交接。</t>
  </si>
  <si>
    <t>P01</t>
  </si>
  <si>
    <t>综合项目</t>
  </si>
  <si>
    <t>项目体系</t>
  </si>
  <si>
    <t>单一人工智能工具部署项目</t>
  </si>
  <si>
    <t>完成受控场景下的模型/API接入、部署、测试和说明。</t>
  </si>
  <si>
    <t>项目职业真实性</t>
  </si>
  <si>
    <t>P02</t>
  </si>
  <si>
    <t>行业知识库与RAG项目</t>
  </si>
  <si>
    <t>完成授权语料治理、检索生成、效果评估和迭代。</t>
  </si>
  <si>
    <t>P03</t>
  </si>
  <si>
    <t>智能体业务流程改造项目</t>
  </si>
  <si>
    <t>完成流程分析、智能体编排、权限边界和运行评估。</t>
  </si>
  <si>
    <t>P04</t>
  </si>
  <si>
    <t>综合人工智能应用交付项目</t>
  </si>
  <si>
    <t>按需求—开发—安全—部署—验收—运维全流程交付。</t>
  </si>
  <si>
    <t>评价证据</t>
  </si>
  <si>
    <t>评价体系</t>
  </si>
  <si>
    <t>需求规格说明书</t>
  </si>
  <si>
    <t>证明需求获取、边界确认和验收标准定义能力。</t>
  </si>
  <si>
    <t>证据效度</t>
  </si>
  <si>
    <t>业务流程图与场景分析报告</t>
  </si>
  <si>
    <t>证明流程理解、问题识别和适用性判断能力。</t>
  </si>
  <si>
    <t>模型选型与技术方案报告</t>
  </si>
  <si>
    <t>证明模型、成本、风险和部署约束的综合判断。</t>
  </si>
  <si>
    <t>RAG/智能体运行与评测记录</t>
  </si>
  <si>
    <t>证明实现过程、测试样例、指标和迭代依据。</t>
  </si>
  <si>
    <t>数据清单、授权与隐私处理记录</t>
  </si>
  <si>
    <t>证明数据来源、用途、权限和保护措施可追溯。</t>
  </si>
  <si>
    <t>安全风险评估与测试报告</t>
  </si>
  <si>
    <t>证明开展幻觉、注入、权限边界和异常场景测试。</t>
  </si>
  <si>
    <t>E07</t>
  </si>
  <si>
    <t>代码仓库、构建与部署记录</t>
  </si>
  <si>
    <t>证明开发规范、版本管理、可复现构建和部署能力。</t>
  </si>
  <si>
    <t>E08</t>
  </si>
  <si>
    <t>监控、运维与事件处置记录</t>
  </si>
  <si>
    <t>证明上线后的质量监控、问题定位和响应能力。</t>
  </si>
  <si>
    <t>E09</t>
  </si>
  <si>
    <t>用户手册、培训与验收材料</t>
  </si>
  <si>
    <t>证明用户支持、知识转移及交付闭环能力。</t>
  </si>
  <si>
    <t>D1 内容相关性</t>
  </si>
  <si>
    <t>修改意见</t>
  </si>
  <si>
    <t>完成检查</t>
  </si>
  <si>
    <t>补充变更控制与里程碑验收。</t>
  </si>
  <si>
    <t>明确高风险工具调用须人工确认。</t>
  </si>
  <si>
    <t>增加成本预算与告警阈值训练。</t>
  </si>
  <si>
    <t>建议分阶段验收，避免项目范围过大。</t>
  </si>
  <si>
    <t>评测记录应包含失败样例与版本号。</t>
  </si>
  <si>
    <t>微调可作为选学，多模态集成应突出接口调用。</t>
  </si>
  <si>
    <t>增加资源限额、弹性伸缩和灰度发布。</t>
  </si>
  <si>
    <t>监控指标应区分模型质量与平台可用性。</t>
  </si>
  <si>
    <t>建议使用轻量集群或托管平台降低门槛。</t>
  </si>
  <si>
    <t>部署记录需保留镜像摘要和配置版本。</t>
  </si>
  <si>
    <t>增加数据保留期限和删除机制。</t>
  </si>
  <si>
    <t>对抗测试必须限定授权范围并保留记录。</t>
  </si>
  <si>
    <t>应覆盖生成内容标识、版权和责任追溯。</t>
  </si>
  <si>
    <t>建议以风险评估贯穿其他模块。</t>
  </si>
  <si>
    <t>报告应列明风险等级、责任人与整改闭环。</t>
  </si>
  <si>
    <t>增加检索召回、引用正确率和更新时效指标。</t>
  </si>
  <si>
    <t>可靠性评估应按业务风险设置通过阈值。</t>
  </si>
  <si>
    <t>加入文档更新、失效与权限继承。</t>
  </si>
  <si>
    <t>需设置可验证问题集和人工复核样本。</t>
  </si>
  <si>
    <t>区分检索、生成和端到端评测结果。</t>
  </si>
  <si>
    <t>补充终止条件、超时和状态恢复。</t>
  </si>
  <si>
    <t>工具参数校验应列为必测项。</t>
  </si>
  <si>
    <t>增加人工接管后的事件复盘。</t>
  </si>
  <si>
    <t>先做单智能体，再做多步骤流程。</t>
  </si>
  <si>
    <t>限定工具数量和业务风险，控制项目难度。</t>
  </si>
  <si>
    <t>增加需求可测试性和优先级确认。</t>
  </si>
  <si>
    <t>验收指标应在开发前共同确定。</t>
  </si>
  <si>
    <t>培训材料应区分管理员和普通用户。</t>
  </si>
  <si>
    <t>建议加入变更记录与遗留问题清单。</t>
  </si>
  <si>
    <t>验收材料需有签字角色和未决项。</t>
  </si>
  <si>
    <t>范围、进度和风险可下沉到综合项目训练。</t>
  </si>
  <si>
    <t>微调部分建议设置为拓展任务。</t>
  </si>
  <si>
    <t>需给出适合高职的场景复杂度边界。</t>
  </si>
  <si>
    <t>建议拆成两个学期递进实施。</t>
  </si>
  <si>
    <t>技术方案报告可提供统一模板。</t>
  </si>
  <si>
    <t>突出调用、调试和评测，不宜过度讲底层训练。</t>
  </si>
  <si>
    <t>提供可复用语料包和基准问题集。</t>
  </si>
  <si>
    <t>容器编排深度应控制在高职可操作范围。</t>
  </si>
  <si>
    <t>增加结构化输出与提示版本管理。</t>
  </si>
  <si>
    <t>适合作为前置小项目。</t>
  </si>
  <si>
    <t>密钥管理需使用专用保管方式，禁止写入代码。</t>
  </si>
  <si>
    <t>先讲授权和安全边界，再开展对抗测试。</t>
  </si>
  <si>
    <t>增加案例讨论和责任角色辨析。</t>
  </si>
  <si>
    <t>应与所有项目共用检查清单。</t>
  </si>
  <si>
    <t>记录模板需体现最小化和保存期限。</t>
  </si>
  <si>
    <t>建议明确可观察的流程分析产出。</t>
  </si>
  <si>
    <t>可靠性指标需给出最低样本量。</t>
  </si>
  <si>
    <t>报告应附原始访谈或观察证据。</t>
  </si>
  <si>
    <t>运行记录建议统一字段，便于复核。</t>
  </si>
  <si>
    <t>将用户反馈纳入验收证据。</t>
  </si>
  <si>
    <t>邀请企业参与需求评审，增强职业情境。</t>
  </si>
  <si>
    <t>交接环节可由企业导师模拟签收。</t>
  </si>
  <si>
    <t>增加企业评审节点和沟通记录。</t>
  </si>
  <si>
    <t>语料应由企业脱敏后提供或共同构造。</t>
  </si>
  <si>
    <t>项目边界需与企业导师提前确认。</t>
  </si>
  <si>
    <t>建议兼顾单机容器与集群部署两级任务。</t>
  </si>
  <si>
    <t>提供预设故障和可观察指标。</t>
  </si>
  <si>
    <t>注明最低算力、网络和平台条件。</t>
  </si>
  <si>
    <t>增加成本监测和资源回收。</t>
  </si>
  <si>
    <t>综合项目应允许使用托管服务替代自建平台。</t>
  </si>
  <si>
    <t>陈述编号</t>
  </si>
  <si>
    <t>陈述</t>
  </si>
  <si>
    <t>评分1–4</t>
  </si>
  <si>
    <t>理由/条件</t>
  </si>
  <si>
    <t>F01</t>
  </si>
  <si>
    <t>即使当前招聘文本中的出现频率不高，政策明确要求且风险后果显著的能力也应纳入课程。</t>
  </si>
  <si>
    <t>以明确政策义务、风险等级和岗位责任为纳入条件。</t>
  </si>
  <si>
    <t>F02</t>
  </si>
  <si>
    <t>未来三年，企业对RAG与企业知识库能力的需求将继续增长。</t>
  </si>
  <si>
    <t>增长成立，但取决于知识更新、权限过滤和可量化评测。</t>
  </si>
  <si>
    <t>F03</t>
  </si>
  <si>
    <t>未来三年，企业对智能体设计、工具调用和权限治理能力的需求将继续增长。</t>
  </si>
  <si>
    <t>需求会增长，高风险工具调用必须保留人工确认和审计。</t>
  </si>
  <si>
    <t>F04</t>
  </si>
  <si>
    <t>人工智能安全、隐私、伦理与合规应作为贯穿课程和项目的要求，而非单独的知识点。</t>
  </si>
  <si>
    <t>赞同，应在需求、开发、部署、验收各阶段设置检查点。</t>
  </si>
  <si>
    <t>F05</t>
  </si>
  <si>
    <t>高职学生可以在真实或仿真的项目条件下形成上述安全治理与交付能力。</t>
  </si>
  <si>
    <t>可以形成入门能力，但需企业沙箱、导师反馈和真实验收标准。</t>
  </si>
  <si>
    <t>可以形成基础能力，但要有分层任务、受控平台和足够实训学时。</t>
  </si>
  <si>
    <t>有效N</t>
  </si>
  <si>
    <t>同意数(3/4)</t>
  </si>
  <si>
    <t>I-CVI</t>
  </si>
  <si>
    <t>偶然一致概率Pc</t>
  </si>
  <si>
    <t>修正Kappa</t>
  </si>
  <si>
    <t>D1中位数</t>
  </si>
  <si>
    <t>D1 IQR</t>
  </si>
  <si>
    <t>初步决策</t>
  </si>
  <si>
    <t>政策例外提示</t>
  </si>
  <si>
    <t>由分析脚本计算</t>
  </si>
  <si>
    <t>政策关键</t>
  </si>
  <si>
    <t>S-CVI/Ave</t>
  </si>
  <si>
    <t>轮次</t>
  </si>
  <si>
    <t>原文本</t>
  </si>
  <si>
    <t>统计摘要</t>
  </si>
  <si>
    <t>支持意见摘要</t>
  </si>
  <si>
    <t>保留/反对意见摘要</t>
  </si>
  <si>
    <t>决策</t>
  </si>
  <si>
    <t>修订文本</t>
  </si>
  <si>
    <t>决策理由</t>
  </si>
  <si>
    <t>复核人</t>
  </si>
  <si>
    <t>日期</t>
  </si>
  <si>
    <t>R1</t>
  </si>
  <si>
    <t>需求沟通与需求分析：能够通过访谈、观察和资料分析形成可验证的业务需求。</t>
  </si>
  <si>
    <t>I-CVI=1.000；D1中位数=4.0，IQR=0.00，同意数=12/12；D2/D3/D4/D5中位数=4.0/4.0/4.0/3.5</t>
  </si>
  <si>
    <t>D1内容相关性I-CVI=1.000、中位数=4.0，达到保留阈值（≥0.78）。</t>
  </si>
  <si>
    <t>[E06] 增加需求可测试性和优先级确认。；[V05] 邀请企业参与需求评审，增强职业情境。</t>
  </si>
  <si>
    <t>修订进入R2</t>
  </si>
  <si>
    <t>能够通过访谈、观察和资料分析，形成含验收标准与优先级的可测试业务需求，并参与企业需求评审。</t>
  </si>
  <si>
    <t>符合纳入标准（≥2条文字意见 或 ≥3位专家在任一维度给≤2分），纳入第二轮复评确认。</t>
  </si>
  <si>
    <t/>
  </si>
  <si>
    <t>行业流程与应用场景分析：能够识别流程痛点、数据条件及人工智能适用边界。</t>
  </si>
  <si>
    <t>I-CVI=0.917；D1中位数=4.0，IQR=0.00，同意数=11/12；D2/D3/D4/D5中位数=4.0/4.0/4.0/4.0</t>
  </si>
  <si>
    <t>D1内容相关性I-CVI=0.917、中位数=4.0，达到保留阈值（≥0.78）。</t>
  </si>
  <si>
    <t>[V04] 建议明确可观察的流程分析产出。</t>
  </si>
  <si>
    <t>保留</t>
  </si>
  <si>
    <t>未达纳入第二轮阈值（文字意见&lt;2条且低分专家&lt;3人），且I-CVI≥0.78，保留原条目。</t>
  </si>
  <si>
    <t>解决方案设计与项目协同：能够形成技术—业务方案并参与范围、进度和风险协调。</t>
  </si>
  <si>
    <t>I-CVI=1.000；D1中位数=3.0，IQR=1.00，同意数=12/12；D2/D3/D4/D5中位数=4.0/3.5/4.0/4.0</t>
  </si>
  <si>
    <t>D1内容相关性I-CVI=1.000、中位数=3.0，达到保留阈值（≥0.78）。</t>
  </si>
  <si>
    <t>[E01] 补充变更控制与里程碑验收。；[V01] 范围、进度和风险可下沉到综合项目训练。</t>
  </si>
  <si>
    <t>能够形成技术—业务方案，明确里程碑与变更控制机制，并参与范围、进度和风险协调。</t>
  </si>
  <si>
    <t>模型能力边界评估与选型：能够依据任务、成本、安全和部署约束选择模型。</t>
  </si>
  <si>
    <t>I-CVI=1.000；D1中位数=3.0，IQR=1.00，同意数=12/12；D2/D3/D4/D5中位数=3.5/4.0/3.0/4.0</t>
  </si>
  <si>
    <t>无（未提出文字修改意见）</t>
  </si>
  <si>
    <t>大模型与提示词应用开发：能够设计、实现和测试基于大模型的应用功能。</t>
  </si>
  <si>
    <t>I-CVI=1.000；D1中位数=4.0，IQR=0.00，同意数=12/12；D2/D3/D4/D5中位数=4.0/4.0/4.0/4.0</t>
  </si>
  <si>
    <t>[V02] 突出调用、调试和评测，不宜过度讲底层训练。</t>
  </si>
  <si>
    <t>检索增强生成与知识库开发：能够完成数据处理、索引、检索、生成和效果评估。</t>
  </si>
  <si>
    <t>[E04] 增加检索召回、引用正确率和更新时效指标。；[V02] 提供可复用语料包和基准问题集。</t>
  </si>
  <si>
    <t>能够完成数据处理、索引、检索、生成和效果评估，并以基准问题集度量检索召回率、引用正确率与更新时效。</t>
  </si>
  <si>
    <t>智能体设计与编排：能够设计任务分解、工具调用、状态管理及人工介入机制。</t>
  </si>
  <si>
    <t>I-CVI=1.000；D1中位数=4.0，IQR=1.00，同意数=12/12；D2/D3/D4/D5中位数=4.0/4.0/3.0/4.0</t>
  </si>
  <si>
    <t>[E05] 补充终止条件、超时和状态恢复。</t>
  </si>
  <si>
    <t>模型适配与多模态应用：能够根据场景开展轻量化微调或多模态能力集成。</t>
  </si>
  <si>
    <t>I-CVI=1.000；D1中位数=3.0，IQR=1.00，同意数=12/12；D2/D3/D4/D5中位数=4.0/3.0/3.0/4.0</t>
  </si>
  <si>
    <t>[E02] 微调可作为选学，多模态集成应突出接口调用。；[V01] 微调部分建议设置为拓展任务。；另低分：[E01] D4=2；[E02] D4=2；[E03] D4=2；[V04] D3=2；[V05] D3=2、D4=2</t>
  </si>
  <si>
    <t>能够根据场景集成多模态能力（以接口调用为主）；轻量化微调作为拓展／选学任务，不作为必达要求。</t>
  </si>
  <si>
    <t>数据来源、授权、隐私与敏感信息治理：能够核验数据合法来源、授权边界并落实隐私保护。</t>
  </si>
  <si>
    <t>[E03] 增加数据保留期限和删除机制。</t>
  </si>
  <si>
    <t>访问控制与最小权限：能够为用户、服务和智能体配置身份、权限及密钥管理。</t>
  </si>
  <si>
    <t>[V03] 密钥管理需使用专用保管方式，禁止写入代码。</t>
  </si>
  <si>
    <t>幻觉与可靠性评估：能够建立事实性、稳定性、可追溯性和拒答能力测试。</t>
  </si>
  <si>
    <t>[E04] 可靠性评估应按业务风险设置通过阈值。；[V04] 可靠性指标需给出最低样本量。</t>
  </si>
  <si>
    <t>能够建立事实性、稳定性、可追溯性和拒答能力测试，并按业务风险设定通过阈值与最低样本量。</t>
  </si>
  <si>
    <t>提示注入、越狱与对抗测试：能够识别并测试恶意提示、间接注入和防护措施。</t>
  </si>
  <si>
    <t>I-CVI=1.000；D1中位数=3.5，IQR=1.00，同意数=12/12；D2/D3/D4/D5中位数=4.0/4.0/3.0/4.0</t>
  </si>
  <si>
    <t>D1内容相关性I-CVI=1.000、中位数=3.5，达到保留阈值（≥0.78）。</t>
  </si>
  <si>
    <t>[E03] 对抗测试必须限定授权范围并保留记录。；[V03] 先讲授权和安全边界，再开展对抗测试。；另低分：[E02] D4=2；[V01] D3=2；[V02] D3=2</t>
  </si>
  <si>
    <t>在授权范围内识别并测试恶意提示、间接注入和防护措施；测试须限定授权范围并保留记录。</t>
  </si>
  <si>
    <t>智能体工具调用与权限边界测试：能够验证工具白名单、参数约束、确认机制和异常处置。</t>
  </si>
  <si>
    <t>I-CVI=1.000；D1中位数=4.0，IQR=1.00，同意数=12/12；D2/D3/D4/D5中位数=3.5/4.0/3.0/4.0</t>
  </si>
  <si>
    <t>[E01] 明确高风险工具调用须人工确认。；[E05] 工具参数校验应列为必测项。</t>
  </si>
  <si>
    <t>能够验证工具白名单、参数约束与异常处置，明确高风险工具调用须经人工确认；工具参数校验列为必测项。</t>
  </si>
  <si>
    <t>日志审计、监测与事件响应：能够保留关键日志、识别异常并执行响应和复盘。</t>
  </si>
  <si>
    <t>I-CVI=1.000；D1中位数=3.5，IQR=1.00，同意数=12/12；D2/D3/D4/D5中位数=4.0/3.0/3.0/4.0</t>
  </si>
  <si>
    <t>[E05] 增加人工接管后的事件复盘。</t>
  </si>
  <si>
    <t>人工智能伦理与业务合规：能够识别偏见、版权、责任边界及行业合规要求。</t>
  </si>
  <si>
    <t>I-CVI=1.000；D1中位数=4.0，IQR=0.00，同意数=12/12；D2/D3/D4/D5中位数=4.0/4.0/3.5/4.0</t>
  </si>
  <si>
    <t>[E03] 应覆盖生成内容标识、版权和责任追溯。；[V03] 增加案例讨论和责任角色辨析。</t>
  </si>
  <si>
    <t>能够识别偏见、版权、责任边界及行业合规要求，覆盖生成内容标识与责任追溯，并通过案例辨析责任角色。</t>
  </si>
  <si>
    <t>接口开发与系统集成：能够通过API、数据库和消息机制集成既有系统。</t>
  </si>
  <si>
    <t>I-CVI=0.917；D1中位数=4.0，IQR=0.00，同意数=11/12；D2/D3/D4/D5中位数=4.0/4.0/4.0/3.5</t>
  </si>
  <si>
    <t>[E01] D1 内容相关性=1、D3=1、D5=2；[V01] D2=1、D5=2</t>
  </si>
  <si>
    <t>容器化与云原生部署：能够完成镜像、配置、服务发布、资源管理和回滚。</t>
  </si>
  <si>
    <t>I-CVI=0.917；D1中位数=3.0，IQR=1.00，同意数=11/12；D2/D3/D4/D5中位数=4.0/3.5/3.0/4.0</t>
  </si>
  <si>
    <t>D1内容相关性I-CVI=0.917、中位数=3.0，达到保留阈值（≥0.78）。</t>
  </si>
  <si>
    <t>[E02] 增加资源限额、弹性伸缩和灰度发布。；[V02] 容器编排深度应控制在高职可操作范围。；[V06] 建议兼顾单机容器与集群部署两级任务。；另低分：[E02] D4=2；[V01] D1 内容相关性=2；[V04] D4=2；[V05] D4=2；[V06] D3=2</t>
  </si>
  <si>
    <t>能够完成镜像、配置、资源限额、服务发布、灰度发布与回滚；以单机容器为基础、集群部署为拓展，深度控制在高职可操作范围。</t>
  </si>
  <si>
    <t>测试、上线与验收：能够制定测试方案，支持上线并依据指标组织验收。</t>
  </si>
  <si>
    <t>[E06] 验收指标应在开发前共同确定。</t>
  </si>
  <si>
    <t>监控、运维与故障排查：能够监控质量、时延、成本和安全指标并定位故障。</t>
  </si>
  <si>
    <t>I-CVI=1.000；D1中位数=3.5，IQR=1.00，同意数=12/12；D2/D3/D4/D5中位数=3.5/3.0/3.0/4.0</t>
  </si>
  <si>
    <t>[E02] 监控指标应区分模型质量与平台可用性。；[V06] 提供预设故障和可观察指标。；另低分：[E05] D4=2；[V01] D3=2；[V05] D4=2；[V06] D4=2</t>
  </si>
  <si>
    <t>能够监控模型质量与平台可用性两类指标（含质量、时延、成本、安全）并定位故障；配套预设故障与可观察指标。</t>
  </si>
  <si>
    <t>技术文档、用户培训与交接：能够形成可维护文档并完成培训、交接和知识转移。</t>
  </si>
  <si>
    <t>I-CVI=1.000；D1中位数=3.0，IQR=1.00，同意数=12/12；D2/D3/D4/D5中位数=4.0/4.0/4.0/4.0</t>
  </si>
  <si>
    <t>[E06] 培训材料应区分管理员和普通用户。；[V05] 交接环节可由企业导师模拟签收。</t>
  </si>
  <si>
    <t>能够形成可维护文档，面向管理员与普通用户分层培训，并完成可由企业导师模拟签收的交接与知识转移。</t>
  </si>
  <si>
    <t>行业人工智能解决方案设计：面向真实行业问题完成场景识别、价值判断与总体方案设计。</t>
  </si>
  <si>
    <t>[V01] 需给出适合高职的场景复杂度边界。</t>
  </si>
  <si>
    <t>需求分析与客户沟通：训练访谈、流程建模、需求规格和范围确认。</t>
  </si>
  <si>
    <t>大模型应用与提示工程：训练大模型调用、提示设计、评测与应用开发。</t>
  </si>
  <si>
    <t>[V02] 增加结构化输出与提示版本管理。</t>
  </si>
  <si>
    <t>RAG与企业知识库：训练语料治理、检索、生成、评测和持续维护。</t>
  </si>
  <si>
    <t>[E04] 加入文档更新、失效与权限继承。</t>
  </si>
  <si>
    <t>智能体设计与业务流程编排：训练任务规划、工具调用、权限控制和人机协同。</t>
  </si>
  <si>
    <t>I-CVI=1.000；D1中位数=3.0，IQR=0.25，同意数=12/12；D2/D3/D4/D5中位数=4.0/4.0/3.0/4.0</t>
  </si>
  <si>
    <t>[E05] 先做单智能体，再做多步骤流程。；另低分：[E01] D5=2；[E04] D4=2；[V01] D4=2；[V02] D4=2；[V06] D4=2</t>
  </si>
  <si>
    <t>训练任务规划、工具调用、权限控制和人机协同；按“先单智能体、再多步骤流程”的梯度组织，降低编排复杂度。</t>
  </si>
  <si>
    <t>人工智能安全、隐私与合规：覆盖数据、模型、应用、智能体和业务治理。</t>
  </si>
  <si>
    <t>I-CVI=1.000；D1中位数=4.0，IQR=0.00，同意数=12/12；D2/D3/D4/D5中位数=4.0/4.0/3.0/4.0</t>
  </si>
  <si>
    <t>[E03] 建议以风险评估贯穿其他模块。；[V03] 应与所有项目共用检查清单。；另低分：[E01] D3=1、D4=2；[V01] D2=2、D4=2；[V02] D3=2</t>
  </si>
  <si>
    <t>覆盖数据、模型、应用、智能体和业务治理；以风险评估贯穿其他模块，并与各项目共用统一检查清单。</t>
  </si>
  <si>
    <t>云原生部署与系统集成：训练API、容器、服务编排、发布和回滚。</t>
  </si>
  <si>
    <t>I-CVI=1.000；D1中位数=3.5，IQR=1.00，同意数=12/12；D2/D3/D4/D5中位数=3.0/3.0/3.0/4.0</t>
  </si>
  <si>
    <t>[E02] 建议使用轻量集群或托管平台降低门槛。；[V06] 注明最低算力、网络和平台条件。；另低分：[E04] D4=2；[E06] D4=2；[V01] D4=2；[V04] D4=2</t>
  </si>
  <si>
    <t>训练API、容器、服务编排、发布和回滚；采用轻量集群或托管平台降低门槛，并注明最低算力、网络与平台条件。</t>
  </si>
  <si>
    <t>智能应用运维与质量监测：训练日志、监控、质量评估、成本管理和事件响应。</t>
  </si>
  <si>
    <t>I-CVI=1.000；D1中位数=3.0，IQR=1.00，同意数=12/12；D2/D3/D4/D5中位数=4.0/3.5/3.0/3.0</t>
  </si>
  <si>
    <t>[E01] 增加成本预算与告警阈值训练。；[V06] 增加成本监测和资源回收。；另低分：[E04] D4=2；[V03] D4=2；[V04] D4=2；[V06] D3=2</t>
  </si>
  <si>
    <t>训练日志、监控、质量评估、成本预算与资源回收、告警阈值设定和事件响应。</t>
  </si>
  <si>
    <t>项目交付管理与技术文档：训练项目协同、测试验收、文档、培训和交接。</t>
  </si>
  <si>
    <t>I-CVI=1.000；D1中位数=4.0，IQR=0.25，同意数=12/12；D2/D3/D4/D5中位数=4.0/3.5/3.5/4.0</t>
  </si>
  <si>
    <t>[E06] 建议加入变更记录与遗留问题清单。；[V05] 增加企业评审节点和沟通记录。</t>
  </si>
  <si>
    <t>训练项目协同、测试验收、变更记录与遗留问题清单、文档、培训和交接，并设置企业评审节点与沟通记录。</t>
  </si>
  <si>
    <t>单一人工智能工具部署项目：完成受控场景下的模型/API接入、部署、测试和说明。</t>
  </si>
  <si>
    <t>I-CVI=1.000；D1中位数=3.5，IQR=1.00，同意数=12/12；D2/D3/D4/D5中位数=3.0/4.0/4.0/4.0</t>
  </si>
  <si>
    <t>[V02] 适合作为前置小项目。</t>
  </si>
  <si>
    <t>行业知识库与RAG项目：完成授权语料治理、检索生成、效果评估和迭代。</t>
  </si>
  <si>
    <t>[E04] 需设置可验证问题集和人工复核样本。；[V05] 语料应由企业脱敏后提供或共同构造。</t>
  </si>
  <si>
    <t>完成授权语料治理（企业脱敏提供或共同构造）、检索生成，并以可验证问题集与人工复核样本开展效果评估和迭代。</t>
  </si>
  <si>
    <t>智能体业务流程改造项目：完成流程分析、智能体编排、权限边界和运行评估。</t>
  </si>
  <si>
    <t>I-CVI=1.000；D1中位数=4.0，IQR=1.00，同意数=12/12；D2/D3/D4/D5中位数=4.0/3.0/3.0/4.0</t>
  </si>
  <si>
    <t>[E05] 限定工具数量和业务风险，控制项目难度。；另低分：[E02] D4=2；[E06] D4=2；[V04] D3=2</t>
  </si>
  <si>
    <t>完成流程分析、受限工具集下的智能体编排、权限边界与运行评估；限定工具数量与业务风险以控制项目难度。</t>
  </si>
  <si>
    <t>综合人工智能应用交付项目：按需求—开发—安全—部署—验收—运维全流程交付。</t>
  </si>
  <si>
    <t>I-CVI=1.000；D1中位数=4.0，IQR=1.00，同意数=12/12；D2/D3/D4/D5中位数=4.0/3.5/3.0/4.0</t>
  </si>
  <si>
    <t>[E01] 建议分阶段验收，避免项目范围过大。；[V01] 建议拆成两个学期递进实施。；[V05] 项目边界需与企业导师提前确认。；[V06] 综合项目应允许使用托管服务替代自建平台。；另低分：[E01] D2=2；[E03] D4=2；[E05] D4=2；[V03] D4=2</t>
  </si>
  <si>
    <t>按需求—开发—安全—部署—验收—运维全流程分阶段交付与验收；边界与企业导师提前确认，允许以托管服务替代自建平台，可拆分为两学期递进实施。</t>
  </si>
  <si>
    <t>需求规格说明书：证明需求获取、边界确认和验收标准定义能力。</t>
  </si>
  <si>
    <t>业务流程图与场景分析报告：证明流程理解、问题识别和适用性判断能力。</t>
  </si>
  <si>
    <t>I-CVI=1.000；D1中位数=3.0，IQR=1.00，同意数=12/12；D2/D3/D4/D5中位数=4.0/3.0/3.5/4.0</t>
  </si>
  <si>
    <t>[V04] 报告应附原始访谈或观察证据。</t>
  </si>
  <si>
    <t>模型选型与技术方案报告：证明模型、成本、风险和部署约束的综合判断。</t>
  </si>
  <si>
    <t>I-CVI=1.000；D1中位数=4.0，IQR=1.00，同意数=12/12；D2/D3/D4/D5中位数=4.0/3.0/4.0/4.0</t>
  </si>
  <si>
    <t>[V01] 技术方案报告可提供统一模板。</t>
  </si>
  <si>
    <t>RAG/智能体运行与评测记录：证明实现过程、测试样例、指标和迭代依据。</t>
  </si>
  <si>
    <t>[E01] 评测记录应包含失败样例与版本号。；[E04] 区分检索、生成和端到端评测结果。；[V04] 运行记录建议统一字段，便于复核。</t>
  </si>
  <si>
    <t>证明实现过程、测试样例、指标与迭代依据；记录统一字段，区分检索、生成和端到端评测，并包含失败样例与版本号。</t>
  </si>
  <si>
    <t>数据清单、授权与隐私处理记录：证明数据来源、用途、权限和保护措施可追溯。</t>
  </si>
  <si>
    <t>[V03] 记录模板需体现最小化和保存期限。</t>
  </si>
  <si>
    <t>安全风险评估与测试报告：证明开展幻觉、注入、权限边界和异常场景测试。</t>
  </si>
  <si>
    <t>I-CVI=1.000；D1中位数=3.0，IQR=1.00，同意数=12/12；D2/D3/D4/D5中位数=4.0/4.0/3.0/4.0</t>
  </si>
  <si>
    <t>[E03] 报告应列明风险等级、责任人与整改闭环。；另低分：[E04] D4=2；[E06] D4=2；[V04] D4=2</t>
  </si>
  <si>
    <t>报告须列明风险等级、责任人与整改闭环，并附幻觉、注入、权限边界和异常场景测试记录。</t>
  </si>
  <si>
    <t>代码仓库、构建与部署记录：证明开发规范、版本管理、可复现构建和部署能力。</t>
  </si>
  <si>
    <t>I-CVI=1.000；D1中位数=3.0，IQR=1.00，同意数=12/12；D2/D3/D4/D5中位数=3.0/4.0/3.0/4.0</t>
  </si>
  <si>
    <t>[E02] 部署记录需保留镜像摘要和配置版本。</t>
  </si>
  <si>
    <t>监控、运维与事件处置记录：证明上线后的质量监控、问题定位和响应能力。</t>
  </si>
  <si>
    <t>[V01] D3=2；[V02] D3=2；[V03] D3=2；[V04] D3=2；[V05] D3=2；[V06] D4=2</t>
  </si>
  <si>
    <t>（本条暂无文字修订建议；R2 仅就“未来三年重要性”与“高职可行性”的定位征询意见，修订文本待R2反馈后确定）</t>
  </si>
  <si>
    <t>用户手册、培训与验收材料：证明用户支持、知识转移及交付闭环能力。</t>
  </si>
  <si>
    <t>[E06] 验收材料需有签字角色和未决项。；[V04] 将用户反馈纳入验收证据。</t>
  </si>
  <si>
    <t>验收材料需包含签字角色与未决项，并将用户反馈纳入验收证据。</t>
  </si>
  <si>
    <t>R2</t>
  </si>
  <si>
    <t>R2 I-CVI=1.000；中位数=4.0，IQR=0.00；赞成修订=12/12</t>
  </si>
  <si>
    <t>赞成比例=1.00；R2评分≥3者=12/12</t>
  </si>
  <si>
    <t>[E01] nan；[E02] nan；[E03] nan；[E04] nan；[E05] nan；[E06] 验收标准与优先级使需求更可测试，赞成修订。；[V01] nan；[V02] nan；[V03] nan；[V04] nan；[V05] 企业需求评审已纳入修订，职业情境更加完整。；[V06] nan</t>
  </si>
  <si>
    <t>修订确认</t>
  </si>
  <si>
    <t>R2 复评：赞成比例≥0.80 且 R2 I-CVI≥0.78，修订获采纳。</t>
  </si>
  <si>
    <t>[E01] 里程碑与变更控制已吸收第一轮建议，表述可直接采用。；[E02] nan；[E03] nan；[E04] nan；[E05] nan；[E06] nan；[V01] nan；[V02] nan；[V03] nan；[V04] nan；[V05] nan；[V06] nan</t>
  </si>
  <si>
    <t>[E01] nan；[E02] nan；[E03] nan；[E04] 指标方向正确，召回率和引用正确率需配套统一口径与测试集。；[E05] nan；[E06] nan；[V01] nan；[V02] 基准问题集可提高可教性，建议提供最小样例与评分口径。；[V03] nan；[V04] nan；[V05] nan；[V06] nan</t>
  </si>
  <si>
    <t>R2 I-CVI=1.000；中位数=3.5，IQR=1.00；赞成修订=12/12</t>
  </si>
  <si>
    <t>[E01] nan；[E02] nan；[E03] nan；[E04] nan；[E05] nan；[E06] nan；[V01] 将微调调整为拓展任务后可教性明显提高。；[V02] nan；[V03] nan；[V04] nan；[V05] nan；[V06] nan</t>
  </si>
  <si>
    <t>[E01] nan；[E02] nan；[E03] nan；[E04] 最低样本量应按场景风险分级，不宜设置单一固定值。；[E05] nan；[E06] nan；[V01] nan；[V02] nan；[V03] nan；[V04] 同意增加阈值与最低样本量，但应按风险等级给出区间或示例。；[V05] nan；[V06] nan</t>
  </si>
  <si>
    <t>[E01] nan；[E02] nan；[E03] 授权边界与留痕要求明确，建议再强调测试数据不得包含真实敏感信息。；[E04] nan；[E05] nan；[E06] nan；[V01] nan；[V02] nan；[V03] 赞成修订；实训前应完成授权确认并启用全过程日志。；[V04] nan；[V05] nan；[V06] nan</t>
  </si>
  <si>
    <t>[E01] nan；[E02] nan；[E03] nan；[E04] nan；[E05] 高风险操作人工确认和参数校验均应保留为必测要求。；[E06] nan；[V01] nan；[V02] nan；[V03] nan；[V04] nan；[V05] nan；[V06] nan</t>
  </si>
  <si>
    <t>R2 I-CVI=1.000；中位数=4.0，IQR=0.00；赞成修订=11/12</t>
  </si>
  <si>
    <t>赞成比例=0.92；R2评分≥3者=12/12</t>
  </si>
  <si>
    <t>[E01] nan；[E02] nan；[E03] nan；[E04] nan；[E05] nan；[E06] nan；[V01] nan；[V02] nan；[V03] 内容相关，但案例辨析属于教学方式，建议正文保留责任识别要求即可。；[V04] 相关性高，但“通过案例辨析”属于教学活动，建议不写入能力条目正文。；[V05] nan；[V06] nan</t>
  </si>
  <si>
    <t>R2 I-CVI=1.000；中位数=3.0，IQR=0.00；赞成修订=12/12</t>
  </si>
  <si>
    <t>[E01] nan；[E02] 分层设置合理；灰度发布建议以演示或托管平台操作为主。；[E03] nan；[E04] nan；[E05] nan；[E06] nan；[V01] nan；[V02] 单机容器为基础、集群为拓展的层次合理。；[V03] nan；[V04] nan；[V05] nan；[V06] 单机容器基础加集群拓展的分层清晰，建议保留资源配额与快速复位要求。</t>
  </si>
  <si>
    <t>[E01] nan；[E02] nan；[E03] nan；[E04] nan；[E05] nan；[E06] nan；[V01] nan；[V02] nan；[V03] nan；[V04] nan；[V05] nan；[V06] 预设故障与可观察指标有利于实训实施，赞成修订。</t>
  </si>
  <si>
    <t>[E01] nan；[E02] nan；[E03] nan；[E04] nan；[E05] nan；[E06] 分层培训和模拟签收可保留，建议交接材料同时列出遗留问题。；[V01] nan；[V02] nan；[V03] nan；[V04] nan；[V05] 企业导师模拟签收可行，学校应准备无企业导师时的校内替代角色。；[V06] nan</t>
  </si>
  <si>
    <t>[E01] nan；[E02] nan；[E03] nan；[E04] nan；[E05] 先单智能体再多步骤流程的梯度符合实施规律。；[E06] nan；[V01] 梯度合理，建议单智能体任务为必做，多步骤流程按学情选做。；[V02] nan；[V03] nan；[V04] nan；[V05] nan；[V06] nan</t>
  </si>
  <si>
    <t>R2 I-CVI=1.000；中位数=4.0，IQR=0.25；赞成修订=12/12</t>
  </si>
  <si>
    <t>[E01] nan；[E02] nan；[E03] 风险评估贯穿各模块的处理合理，统一清单应允许按项目风险等级裁剪。；[E04] nan；[E05] nan；[E06] nan；[V01] nan；[V02] nan；[V03] 统一检查清单可采用基础项加风险附加项，避免低风险项目负担过重。；[V04] nan；[V05] nan；[V06] nan</t>
  </si>
  <si>
    <t>R2 I-CVI=1.000；中位数=3.0，IQR=1.00；赞成修订=12/12</t>
  </si>
  <si>
    <t>[E01] nan；[E02] 认可轻量集群或托管平台路径，同时应保留资源配额与回滚要求。；[E03] nan；[E04] nan；[E05] nan；[E06] nan；[V01] nan；[V02] 托管平台可降低门槛，但需设置费用上限和无云资源时的替代路径。；[V03] nan；[V04] nan；[V05] nan；[V06] 最低条件应量化到CPU、内存、存储和并发小组数。</t>
  </si>
  <si>
    <t>R2 I-CVI=1.000；中位数=4.0，IQR=1.00；赞成修订=12/12</t>
  </si>
  <si>
    <t>[E01] nan；[E02] nan；[E03] nan；[E04] nan；[E05] nan；[E06] nan；[V01] nan；[V02] nan；[V03] nan；[V04] nan；[V05] nan；[V06] 成本预算与资源回收应纳入实训结束检查。</t>
  </si>
  <si>
    <t>[E01] nan；[E02] nan；[E03] nan；[E04] nan；[E05] nan；[E06] 企业评审节点应至少覆盖需求确认、中期检查和最终验收。；[V01] nan；[V02] nan；[V03] nan；[V04] nan；[V05] nan；[V06] nan</t>
  </si>
  <si>
    <t>[E01] nan；[E02] nan；[E03] nan；[E04] nan；[E05] nan；[E06] nan；[V01] nan；[V02] nan；[V03] nan；[V04] nan；[V05] 脱敏提供或共同构造两种语料路径适合不同校企合作条件。；[V06] nan</t>
  </si>
  <si>
    <t>[E01] nan；[E02] nan；[E03] nan；[E04] nan；[E05] 受限工具集有助于控制风险，建议增加超时、终止和人工接管测试。；[E06] nan；[V01] nan；[V02] nan；[V03] nan；[V04] nan；[V05] nan；[V06] nan</t>
  </si>
  <si>
    <t>[E01] 赞成分阶段验收，但“两学期”宜作为实施建议，不固定写入项目能力要求。；[E02] nan；[E03] nan；[E04] nan；[E05] nan；[E06] nan；[V01] 赞成递进实施，但两学期安排宜放在教学建议中，不作为统一硬性要求。；[V02] nan；[V03] nan；[V04] nan；[V05] 边界提前确认很重要；是否跨两学期应由学校与企业按项目规模决定。；[V06] nan</t>
  </si>
  <si>
    <t>[E01] nan；[E02] nan；[E03] nan；[E04] 统一字段、失败样例和版本号能提高评测结果的可复核性。；[E05] nan；[E06] nan；[V01] nan；[V02] nan；[V03] nan；[V04] 字段统一后更便于过程评价和证据复核，赞成修订。；[V05] nan；[V06] nan</t>
  </si>
  <si>
    <t>[E01] nan；[E02] nan；[E03] 整改闭环应至少包括风险等级、责任人、期限和复测结果。；[E04] nan；[E05] nan；[E06] nan；[V01] nan；[V02] nan；[V03] nan；[V04] nan；[V05] nan；[V06] nan</t>
  </si>
  <si>
    <t>R2 I-CVI=1.000；中位数=3.0，IQR=0.00；赞成修订=0/12</t>
  </si>
  <si>
    <t>赞成比例=0.00；R2评分≥3者=12/12</t>
  </si>
  <si>
    <t>[E01] 建议保留为核心证据；未来三年重要性高，高职阶段可采用仿真监控与事件演练。；[E02] 未来三年重要性高；高职可行性取决于是否提供预设故障、日志样本和可复位环境。；[E03] 未来重要性高；建议增加日志脱敏、留存期限和事件分级，之后再确定修订文本。；[E04] 重要性高；建议定位为综合项目必备证据，并补充质量漂移与知识更新异常记录。；[E05] 未来重要性高；高职可通过受控工具、仿真告警和事件复盘形成基础能力。；[E06] 未来重要性高；高职可行，但需设置模拟上线观察期和事件处置时限。；[V01] 未来重要性高；高职可行性中等，应提供评分量规、仿真日志和分层任务。；[V02] 未来重要性高；高职可行性中等，建议使用预设日志、故障脚本和可复位环境。；[V03] 未来重要性高；建议修订文本加入日志脱敏、访问控制和事件分级处置。；[V04] 未来重要性高；高职可行性中等，需明确个人贡献、记录真实性与评分量规。；[V05] 未来重要性高；高职可行性取决于企业是否能提供脱敏事件案例和导师反馈。；[V06] 未来重要性高；高职具备实施条件时可行，修订文本应包含预设故障、指标观察和事件复盘。</t>
  </si>
  <si>
    <t>维持原文</t>
  </si>
  <si>
    <t>R2 复评：多数专家不赞成修订，维持原文；本条作为核心评价证据保留。</t>
  </si>
  <si>
    <t>[E01] nan；[E02] nan；[E03] nan；[E04] nan；[E05] nan；[E06] 建议把用户反馈区分为验收前问题与上线观察期问题。；[V01] nan；[V02] nan；[V03] nan；[V04] nan；[V05] nan；[V06] nan</t>
  </si>
  <si>
    <t>修订后条目</t>
  </si>
  <si>
    <t>R1 I-CVI</t>
  </si>
  <si>
    <t>R1中位数</t>
  </si>
  <si>
    <t>R1 IQR</t>
  </si>
  <si>
    <t>R2相关性1–4</t>
  </si>
  <si>
    <t>是否赞成修订</t>
  </si>
  <si>
    <t>意见</t>
  </si>
  <si>
    <t>里程碑与变更控制已吸收第一轮建议，表述可直接采用。</t>
  </si>
  <si>
    <t>赞成分阶段验收，但“两学期”宜作为实施建议，不固定写入项目能力要求。</t>
  </si>
  <si>
    <t>建议保留为核心证据；未来三年重要性高，高职阶段可采用仿真监控与事件演练。</t>
  </si>
  <si>
    <t>分层设置合理；灰度发布建议以演示或托管平台操作为主。</t>
  </si>
  <si>
    <t>认可轻量集群或托管平台路径，同时应保留资源配额与回滚要求。</t>
  </si>
  <si>
    <t>未来三年重要性高；高职可行性取决于是否提供预设故障、日志样本和可复位环境。</t>
  </si>
  <si>
    <t>授权边界与留痕要求明确，建议再强调测试数据不得包含真实敏感信息。</t>
  </si>
  <si>
    <t>风险评估贯穿各模块的处理合理，统一清单应允许按项目风险等级裁剪。</t>
  </si>
  <si>
    <t>整改闭环应至少包括风险等级、责任人、期限和复测结果。</t>
  </si>
  <si>
    <t>未来重要性高；建议增加日志脱敏、留存期限和事件分级，之后再确定修订文本。</t>
  </si>
  <si>
    <t>指标方向正确，召回率和引用正确率需配套统一口径与测试集。</t>
  </si>
  <si>
    <t>最低样本量应按场景风险分级，不宜设置单一固定值。</t>
  </si>
  <si>
    <t>统一字段、失败样例和版本号能提高评测结果的可复核性。</t>
  </si>
  <si>
    <t>重要性高；建议定位为综合项目必备证据，并补充质量漂移与知识更新异常记录。</t>
  </si>
  <si>
    <t>高风险操作人工确认和参数校验均应保留为必测要求。</t>
  </si>
  <si>
    <t>先单智能体再多步骤流程的梯度符合实施规律。</t>
  </si>
  <si>
    <t>受限工具集有助于控制风险，建议增加超时、终止和人工接管测试。</t>
  </si>
  <si>
    <t>未来重要性高；高职可通过受控工具、仿真告警和事件复盘形成基础能力。</t>
  </si>
  <si>
    <t>验收标准与优先级使需求更可测试，赞成修订。</t>
  </si>
  <si>
    <t>分层培训和模拟签收可保留，建议交接材料同时列出遗留问题。</t>
  </si>
  <si>
    <t>企业评审节点应至少覆盖需求确认、中期检查和最终验收。</t>
  </si>
  <si>
    <t>未来重要性高；高职可行，但需设置模拟上线观察期和事件处置时限。</t>
  </si>
  <si>
    <t>建议把用户反馈区分为验收前问题与上线观察期问题。</t>
  </si>
  <si>
    <t>将微调调整为拓展任务后可教性明显提高。</t>
  </si>
  <si>
    <t>梯度合理，建议单智能体任务为必做，多步骤流程按学情选做。</t>
  </si>
  <si>
    <t>赞成递进实施，但两学期安排宜放在教学建议中，不作为统一硬性要求。</t>
  </si>
  <si>
    <t>未来重要性高；高职可行性中等，应提供评分量规、仿真日志和分层任务。</t>
  </si>
  <si>
    <t>基准问题集可提高可教性，建议提供最小样例与评分口径。</t>
  </si>
  <si>
    <t>单机容器为基础、集群为拓展的层次合理。</t>
  </si>
  <si>
    <t>托管平台可降低门槛，但需设置费用上限和无云资源时的替代路径。</t>
  </si>
  <si>
    <t>未来重要性高；高职可行性中等，建议使用预设日志、故障脚本和可复位环境。</t>
  </si>
  <si>
    <t>赞成修订；实训前应完成授权确认并启用全过程日志。</t>
  </si>
  <si>
    <t>内容相关，但案例辨析属于教学方式，建议正文保留责任识别要求即可。</t>
  </si>
  <si>
    <t>统一检查清单可采用基础项加风险附加项，避免低风险项目负担过重。</t>
  </si>
  <si>
    <t>未来重要性高；建议修订文本加入日志脱敏、访问控制和事件分级处置。</t>
  </si>
  <si>
    <t>同意增加阈值与最低样本量，但应按风险等级给出区间或示例。</t>
  </si>
  <si>
    <t>相关性高，但“通过案例辨析”属于教学活动，建议不写入能力条目正文。</t>
  </si>
  <si>
    <t>字段统一后更便于过程评价和证据复核，赞成修订。</t>
  </si>
  <si>
    <t>未来重要性高；高职可行性中等，需明确个人贡献、记录真实性与评分量规。</t>
  </si>
  <si>
    <t>企业需求评审已纳入修订，职业情境更加完整。</t>
  </si>
  <si>
    <t>企业导师模拟签收可行，学校应准备无企业导师时的校内替代角色。</t>
  </si>
  <si>
    <t>脱敏提供或共同构造两种语料路径适合不同校企合作条件。</t>
  </si>
  <si>
    <t>边界提前确认很重要；是否跨两学期应由学校与企业按项目规模决定。</t>
  </si>
  <si>
    <t>未来重要性高；高职可行性取决于企业是否能提供脱敏事件案例和导师反馈。</t>
  </si>
  <si>
    <t>单机容器基础加集群拓展的分层清晰，建议保留资源配额与快速复位要求。</t>
  </si>
  <si>
    <t>预设故障与可观察指标有利于实训实施，赞成修订。</t>
  </si>
  <si>
    <t>最低条件应量化到CPU、内存、存储和并发小组数。</t>
  </si>
  <si>
    <t>成本预算与资源回收应纳入实训结束检查。</t>
  </si>
  <si>
    <t>未来重要性高；高职具备实施条件时可行，修订文本应包含预设故障、指标观察和事件复盘。</t>
  </si>
  <si>
    <t>阶段</t>
  </si>
  <si>
    <t>事件/偏离</t>
  </si>
  <si>
    <t>原因</t>
  </si>
  <si>
    <t>处理</t>
  </si>
  <si>
    <t>影响评估</t>
  </si>
  <si>
    <t>记录人</t>
  </si>
  <si>
    <t>伦理审查</t>
  </si>
  <si>
    <t>已通过所在单位伦理审查/备案，备案编号 SDLL2026001</t>
  </si>
  <si>
    <t>正式招募前的必经程序</t>
  </si>
  <si>
    <t>已将备案编号回填至研究材料包 A6 研究方案、B1 邀请函及 H 质量检查清单</t>
  </si>
  <si>
    <t>无偏离；可开始正式招募与第一轮数据收集</t>
  </si>
  <si>
    <t>第一轮</t>
  </si>
  <si>
    <t>完成12份R1问卷回收与录入，第一轮统计完成；R2精简纳入23条</t>
  </si>
  <si>
    <t>按方案实施</t>
  </si>
  <si>
    <t>录入「第一轮录入」「前瞻判断」并运行分析脚本；在「条目修订日志」记录42条决策</t>
  </si>
  <si>
    <t>无偏离；R1数据完整，仅V04-C08.D5单格留空</t>
  </si>
  <si>
    <t>第二轮</t>
  </si>
  <si>
    <t>完成12份R2问卷回收与录入；第二轮统计完成：22条修订获采纳、E08维持原文</t>
  </si>
  <si>
    <t>录入「第二轮录入」276行；重跑分析脚本；在「条目修订日志」追加23条R2轮次决策</t>
  </si>
  <si>
    <t>无偏离；R2评分完整（0缺失/0越界）；12份均附“其他意见”</t>
  </si>
  <si>
    <t>专家验证结果摘录模板（仅在真实分析后填写）</t>
  </si>
  <si>
    <t>指标</t>
  </si>
  <si>
    <t>真实结果</t>
  </si>
  <si>
    <t>R1完成数</t>
  </si>
  <si>
    <t>[ ] / 12</t>
  </si>
  <si>
    <t>R2完成数</t>
  </si>
  <si>
    <t>[ ]</t>
  </si>
  <si>
    <t>保留/修订/删除数</t>
  </si>
  <si>
    <t>[ ] / [ ] / [ ]</t>
  </si>
  <si>
    <t>企业—教师主要分歧</t>
  </si>
  <si>
    <t>政策例外保留条目</t>
  </si>
  <si>
    <t>最终框架规模</t>
  </si>
  <si>
    <t>任务[ ]；课程[ ]；项目[ ]；评价证据[ ]</t>
  </si>
  <si>
    <t>报告限制</t>
  </si>
  <si>
    <t>目的抽样、每组n=6、探索性组间比较、不可推断全国代表性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</si>
</sst>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5">
    <font>
      <sz val="11"/>
      <color theme="1"/>
      <name val="宋体"/>
      <charset val="134"/>
      <scheme val="minor"/>
    </font>
    <font>
      <b/>
      <sz val="16"/>
      <color rgb="FFFFFFFF"/>
      <name val="宋体"/>
      <charset val="134"/>
      <scheme val="minor"/>
    </font>
    <font>
      <b/>
      <sz val="11"/>
      <color theme="1"/>
      <name val="宋体"/>
      <charset val="134"/>
      <scheme val="minor"/>
    </font>
    <font>
      <sz val="11"/>
      <color rgb="FF7F6000"/>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FF2CC"/>
        <bgColor indexed="64"/>
      </patternFill>
    </fill>
    <fill>
      <patternFill patternType="solid">
        <fgColor rgb="FF4472C4"/>
        <bgColor indexed="64"/>
      </patternFill>
    </fill>
    <fill>
      <patternFill patternType="solid">
        <fgColor rgb="FFFFFC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7"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8" borderId="5" applyNumberFormat="0" applyAlignment="0" applyProtection="0">
      <alignment vertical="center"/>
    </xf>
    <xf numFmtId="0" fontId="15" fillId="9" borderId="6" applyNumberFormat="0" applyAlignment="0" applyProtection="0">
      <alignment vertical="center"/>
    </xf>
    <xf numFmtId="0" fontId="16" fillId="9" borderId="5" applyNumberFormat="0" applyAlignment="0" applyProtection="0">
      <alignment vertical="center"/>
    </xf>
    <xf numFmtId="0" fontId="17" fillId="10"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13">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wrapText="1"/>
    </xf>
    <xf numFmtId="0" fontId="0" fillId="0" borderId="1" xfId="0" applyBorder="1" applyAlignment="1">
      <alignment vertical="top" wrapText="1"/>
    </xf>
    <xf numFmtId="0" fontId="3" fillId="4" borderId="1" xfId="0" applyFont="1" applyFill="1" applyBorder="1" applyAlignment="1">
      <alignment wrapText="1"/>
    </xf>
    <xf numFmtId="0" fontId="4" fillId="5" borderId="1" xfId="0" applyFont="1" applyFill="1" applyBorder="1" applyAlignment="1">
      <alignment horizontal="center" vertical="center" wrapText="1"/>
    </xf>
    <xf numFmtId="0" fontId="0" fillId="6" borderId="1" xfId="0" applyFill="1" applyBorder="1" applyAlignment="1">
      <alignment vertical="top" wrapText="1"/>
    </xf>
    <xf numFmtId="0" fontId="0" fillId="6" borderId="1" xfId="0" applyFill="1" applyBorder="1" applyAlignment="1">
      <alignment horizontal="center"/>
    </xf>
    <xf numFmtId="1" fontId="0" fillId="0" borderId="1" xfId="0" applyNumberFormat="1" applyBorder="1" applyAlignment="1">
      <alignment horizontal="center"/>
    </xf>
    <xf numFmtId="2" fontId="0" fillId="0" borderId="1" xfId="0" applyNumberFormat="1" applyBorder="1" applyAlignment="1">
      <alignment horizontal="center"/>
    </xf>
    <xf numFmtId="176" fontId="0" fillId="0" borderId="1" xfId="0" applyNumberFormat="1" applyBorder="1" applyAlignment="1">
      <alignment horizontal="center"/>
    </xf>
    <xf numFmtId="14" fontId="0" fillId="6" borderId="1" xfId="0" applyNumberFormat="1" applyFill="1" applyBorder="1" applyAlignment="1">
      <alignment horizontal="center"/>
    </xf>
    <xf numFmtId="14" fontId="0" fillId="6" borderId="1" xfId="0" applyNumberFormat="1"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9C0006"/>
      </font>
      <fill>
        <patternFill patternType="solid">
          <bgColor rgb="FFFFC7CE"/>
        </patternFill>
      </fill>
    </dxf>
    <dxf>
      <font>
        <color rgb="FF006100"/>
      </font>
      <fill>
        <patternFill patternType="solid">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pane ySplit="1" topLeftCell="A2" activePane="bottomLeft" state="frozen"/>
      <selection/>
      <selection pane="bottomLeft" activeCell="B14" sqref="B14"/>
    </sheetView>
  </sheetViews>
  <sheetFormatPr defaultColWidth="9" defaultRowHeight="14.4" outlineLevelRow="6" outlineLevelCol="1"/>
  <cols>
    <col min="1" max="1" width="22.712962962963" customWidth="1"/>
    <col min="2" max="2" width="95.712962962963" customWidth="1"/>
  </cols>
  <sheetData>
    <row r="1" ht="20.4" spans="1:2">
      <c r="A1" s="1" t="s">
        <v>0</v>
      </c>
    </row>
    <row r="2" ht="28.8" spans="1:2">
      <c r="A2" s="2" t="s">
        <v>1</v>
      </c>
      <c r="B2" s="3" t="s">
        <v>2</v>
      </c>
    </row>
    <row r="3" spans="1:2">
      <c r="A3" s="2" t="s">
        <v>3</v>
      </c>
      <c r="B3" s="3" t="s">
        <v>4</v>
      </c>
    </row>
    <row r="4" spans="1:2">
      <c r="A4" s="2" t="s">
        <v>5</v>
      </c>
      <c r="B4" s="3" t="s">
        <v>6</v>
      </c>
    </row>
    <row r="5" spans="1:2">
      <c r="A5" s="2" t="s">
        <v>7</v>
      </c>
      <c r="B5" s="3" t="s">
        <v>8</v>
      </c>
    </row>
    <row r="6" spans="1:2">
      <c r="A6" s="2" t="s">
        <v>9</v>
      </c>
      <c r="B6" s="3" t="s">
        <v>10</v>
      </c>
    </row>
    <row r="7" spans="1:2">
      <c r="A7" s="2" t="s">
        <v>11</v>
      </c>
      <c r="B7" s="3" t="s">
        <v>12</v>
      </c>
    </row>
  </sheetData>
  <autoFilter xmlns:etc="http://www.wps.cn/officeDocument/2017/etCustomData" ref="A2:B8" etc:filterBottomFollowUsedRange="0">
    <extLst/>
  </autoFilter>
  <mergeCells count="1">
    <mergeCell ref="A1:B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tabSelected="1" workbookViewId="0">
      <pane xSplit="2" ySplit="1" topLeftCell="C2" activePane="bottomRight" state="frozen"/>
      <selection/>
      <selection pane="topRight"/>
      <selection pane="bottomLeft"/>
      <selection pane="bottomRight" activeCell="F12" sqref="F12:F13"/>
    </sheetView>
  </sheetViews>
  <sheetFormatPr defaultColWidth="9" defaultRowHeight="14.4"/>
  <cols>
    <col min="1" max="1" width="11.712962962963" customWidth="1"/>
    <col min="2" max="4" width="16.712962962963" customWidth="1"/>
    <col min="5" max="7" width="13.712962962963" style="10" customWidth="1"/>
    <col min="8" max="11" width="13.712962962963" customWidth="1"/>
    <col min="12" max="12" width="34.712962962963" customWidth="1"/>
  </cols>
  <sheetData>
    <row r="1" spans="1:12">
      <c r="A1" s="5" t="s">
        <v>13</v>
      </c>
      <c r="B1" s="5" t="s">
        <v>14</v>
      </c>
      <c r="C1" s="5" t="s">
        <v>15</v>
      </c>
      <c r="D1" s="5" t="s">
        <v>16</v>
      </c>
      <c r="E1" s="5" t="s">
        <v>17</v>
      </c>
      <c r="F1" s="5" t="s">
        <v>18</v>
      </c>
      <c r="G1" s="5" t="s">
        <v>19</v>
      </c>
      <c r="H1" s="5" t="s">
        <v>20</v>
      </c>
      <c r="I1" s="5" t="s">
        <v>21</v>
      </c>
      <c r="J1" s="5" t="s">
        <v>22</v>
      </c>
      <c r="K1" s="5" t="s">
        <v>23</v>
      </c>
      <c r="L1" s="5" t="s">
        <v>24</v>
      </c>
    </row>
    <row r="2" spans="1:12">
      <c r="A2" s="3" t="s">
        <v>25</v>
      </c>
      <c r="B2" s="3" t="s">
        <v>26</v>
      </c>
      <c r="C2" s="7" t="s">
        <v>27</v>
      </c>
      <c r="D2" s="7" t="s">
        <v>27</v>
      </c>
      <c r="E2" s="11">
        <v>46303</v>
      </c>
      <c r="F2" s="11">
        <v>46302</v>
      </c>
      <c r="G2" s="7" t="s">
        <v>28</v>
      </c>
      <c r="H2" s="7" t="s">
        <v>29</v>
      </c>
      <c r="I2" s="7" t="s">
        <v>28</v>
      </c>
      <c r="J2" s="7" t="s">
        <v>30</v>
      </c>
      <c r="K2" s="7" t="s">
        <v>29</v>
      </c>
      <c r="L2" s="6"/>
    </row>
    <row r="3" spans="1:12">
      <c r="A3" s="3" t="s">
        <v>31</v>
      </c>
      <c r="B3" s="3" t="s">
        <v>26</v>
      </c>
      <c r="C3" s="7" t="s">
        <v>27</v>
      </c>
      <c r="D3" s="7" t="s">
        <v>27</v>
      </c>
      <c r="E3" s="12">
        <v>46303</v>
      </c>
      <c r="F3" s="12">
        <v>46302</v>
      </c>
      <c r="G3" s="7" t="s">
        <v>28</v>
      </c>
      <c r="H3" s="7" t="s">
        <v>29</v>
      </c>
      <c r="I3" s="7" t="s">
        <v>28</v>
      </c>
      <c r="J3" s="7" t="s">
        <v>30</v>
      </c>
      <c r="K3" s="7" t="s">
        <v>29</v>
      </c>
      <c r="L3" s="6"/>
    </row>
    <row r="4" spans="1:12">
      <c r="A4" s="3" t="s">
        <v>32</v>
      </c>
      <c r="B4" s="3" t="s">
        <v>26</v>
      </c>
      <c r="C4" s="7" t="s">
        <v>27</v>
      </c>
      <c r="D4" s="7" t="s">
        <v>27</v>
      </c>
      <c r="E4" s="12">
        <v>46303</v>
      </c>
      <c r="F4" s="11">
        <v>46302</v>
      </c>
      <c r="G4" s="7" t="s">
        <v>28</v>
      </c>
      <c r="H4" s="7" t="s">
        <v>29</v>
      </c>
      <c r="I4" s="7" t="s">
        <v>28</v>
      </c>
      <c r="J4" s="7" t="s">
        <v>30</v>
      </c>
      <c r="K4" s="7" t="s">
        <v>29</v>
      </c>
      <c r="L4" s="6"/>
    </row>
    <row r="5" spans="1:12">
      <c r="A5" s="3" t="s">
        <v>33</v>
      </c>
      <c r="B5" s="3" t="s">
        <v>26</v>
      </c>
      <c r="C5" s="7" t="s">
        <v>27</v>
      </c>
      <c r="D5" s="7" t="s">
        <v>27</v>
      </c>
      <c r="E5" s="12">
        <v>46303</v>
      </c>
      <c r="F5" s="12">
        <v>46302</v>
      </c>
      <c r="G5" s="7" t="s">
        <v>28</v>
      </c>
      <c r="H5" s="7" t="s">
        <v>29</v>
      </c>
      <c r="I5" s="7" t="s">
        <v>28</v>
      </c>
      <c r="J5" s="7" t="s">
        <v>30</v>
      </c>
      <c r="K5" s="7" t="s">
        <v>29</v>
      </c>
      <c r="L5" s="6"/>
    </row>
    <row r="6" spans="1:12">
      <c r="A6" s="3" t="s">
        <v>34</v>
      </c>
      <c r="B6" s="3" t="s">
        <v>26</v>
      </c>
      <c r="C6" s="7" t="s">
        <v>27</v>
      </c>
      <c r="D6" s="7" t="s">
        <v>27</v>
      </c>
      <c r="E6" s="12">
        <v>46303</v>
      </c>
      <c r="F6" s="11">
        <v>46302</v>
      </c>
      <c r="G6" s="7" t="s">
        <v>28</v>
      </c>
      <c r="H6" s="7" t="s">
        <v>29</v>
      </c>
      <c r="I6" s="7" t="s">
        <v>28</v>
      </c>
      <c r="J6" s="7" t="s">
        <v>30</v>
      </c>
      <c r="K6" s="7" t="s">
        <v>29</v>
      </c>
      <c r="L6" s="6"/>
    </row>
    <row r="7" spans="1:12">
      <c r="A7" s="3" t="s">
        <v>35</v>
      </c>
      <c r="B7" s="3" t="s">
        <v>26</v>
      </c>
      <c r="C7" s="7" t="s">
        <v>27</v>
      </c>
      <c r="D7" s="7" t="s">
        <v>27</v>
      </c>
      <c r="E7" s="12">
        <v>46303</v>
      </c>
      <c r="F7" s="12">
        <v>46302</v>
      </c>
      <c r="G7" s="7" t="s">
        <v>28</v>
      </c>
      <c r="H7" s="7" t="s">
        <v>29</v>
      </c>
      <c r="I7" s="7" t="s">
        <v>28</v>
      </c>
      <c r="J7" s="7" t="s">
        <v>30</v>
      </c>
      <c r="K7" s="7" t="s">
        <v>29</v>
      </c>
      <c r="L7" s="6"/>
    </row>
    <row r="8" spans="1:12">
      <c r="A8" s="3" t="s">
        <v>36</v>
      </c>
      <c r="B8" s="3" t="s">
        <v>37</v>
      </c>
      <c r="C8" s="7" t="s">
        <v>27</v>
      </c>
      <c r="D8" s="7" t="s">
        <v>27</v>
      </c>
      <c r="E8" s="12">
        <v>46303</v>
      </c>
      <c r="F8" s="11">
        <v>46302</v>
      </c>
      <c r="G8" s="7" t="s">
        <v>28</v>
      </c>
      <c r="H8" s="7" t="s">
        <v>29</v>
      </c>
      <c r="I8" s="7" t="s">
        <v>28</v>
      </c>
      <c r="J8" s="7" t="s">
        <v>30</v>
      </c>
      <c r="K8" s="7" t="s">
        <v>29</v>
      </c>
      <c r="L8" s="6"/>
    </row>
    <row r="9" spans="1:12">
      <c r="A9" s="3" t="s">
        <v>38</v>
      </c>
      <c r="B9" s="3" t="s">
        <v>37</v>
      </c>
      <c r="C9" s="7" t="s">
        <v>27</v>
      </c>
      <c r="D9" s="7" t="s">
        <v>27</v>
      </c>
      <c r="E9" s="12">
        <v>46303</v>
      </c>
      <c r="F9" s="12">
        <v>46302</v>
      </c>
      <c r="G9" s="7" t="s">
        <v>28</v>
      </c>
      <c r="H9" s="7" t="s">
        <v>29</v>
      </c>
      <c r="I9" s="7" t="s">
        <v>28</v>
      </c>
      <c r="J9" s="7" t="s">
        <v>30</v>
      </c>
      <c r="K9" s="7" t="s">
        <v>29</v>
      </c>
      <c r="L9" s="6"/>
    </row>
    <row r="10" spans="1:12">
      <c r="A10" s="3" t="s">
        <v>39</v>
      </c>
      <c r="B10" s="3" t="s">
        <v>37</v>
      </c>
      <c r="C10" s="7" t="s">
        <v>27</v>
      </c>
      <c r="D10" s="7" t="s">
        <v>27</v>
      </c>
      <c r="E10" s="12">
        <v>46303</v>
      </c>
      <c r="F10" s="11">
        <v>46302</v>
      </c>
      <c r="G10" s="7" t="s">
        <v>28</v>
      </c>
      <c r="H10" s="7" t="s">
        <v>29</v>
      </c>
      <c r="I10" s="7" t="s">
        <v>28</v>
      </c>
      <c r="J10" s="7" t="s">
        <v>30</v>
      </c>
      <c r="K10" s="7" t="s">
        <v>29</v>
      </c>
      <c r="L10" s="6"/>
    </row>
    <row r="11" spans="1:12">
      <c r="A11" s="3" t="s">
        <v>40</v>
      </c>
      <c r="B11" s="3" t="s">
        <v>37</v>
      </c>
      <c r="C11" s="7" t="s">
        <v>27</v>
      </c>
      <c r="D11" s="7" t="s">
        <v>27</v>
      </c>
      <c r="E11" s="12">
        <v>46303</v>
      </c>
      <c r="F11" s="12">
        <v>46302</v>
      </c>
      <c r="G11" s="7" t="s">
        <v>28</v>
      </c>
      <c r="H11" s="7" t="s">
        <v>29</v>
      </c>
      <c r="I11" s="7" t="s">
        <v>28</v>
      </c>
      <c r="J11" s="7" t="s">
        <v>30</v>
      </c>
      <c r="K11" s="7" t="s">
        <v>29</v>
      </c>
      <c r="L11" s="6"/>
    </row>
    <row r="12" spans="1:12">
      <c r="A12" s="3" t="s">
        <v>41</v>
      </c>
      <c r="B12" s="3" t="s">
        <v>37</v>
      </c>
      <c r="C12" s="7" t="s">
        <v>27</v>
      </c>
      <c r="D12" s="7" t="s">
        <v>27</v>
      </c>
      <c r="E12" s="12">
        <v>46303</v>
      </c>
      <c r="F12" s="11">
        <v>46302</v>
      </c>
      <c r="G12" s="7" t="s">
        <v>28</v>
      </c>
      <c r="H12" s="7" t="s">
        <v>29</v>
      </c>
      <c r="I12" s="7" t="s">
        <v>28</v>
      </c>
      <c r="J12" s="7" t="s">
        <v>30</v>
      </c>
      <c r="K12" s="7" t="s">
        <v>29</v>
      </c>
      <c r="L12" s="6"/>
    </row>
    <row r="13" spans="1:12">
      <c r="A13" s="3" t="s">
        <v>42</v>
      </c>
      <c r="B13" s="3" t="s">
        <v>37</v>
      </c>
      <c r="C13" s="7" t="s">
        <v>27</v>
      </c>
      <c r="D13" s="7" t="s">
        <v>27</v>
      </c>
      <c r="E13" s="12">
        <v>46303</v>
      </c>
      <c r="F13" s="12">
        <v>46302</v>
      </c>
      <c r="G13" s="7" t="s">
        <v>28</v>
      </c>
      <c r="H13" s="7" t="s">
        <v>29</v>
      </c>
      <c r="I13" s="7" t="s">
        <v>28</v>
      </c>
      <c r="J13" s="7" t="s">
        <v>30</v>
      </c>
      <c r="K13" s="7" t="s">
        <v>29</v>
      </c>
      <c r="L13" s="6"/>
    </row>
  </sheetData>
  <autoFilter xmlns:etc="http://www.wps.cn/officeDocument/2017/etCustomData" ref="A1:L13" etc:filterBottomFollowUsedRange="0">
    <extLst/>
  </autoFilter>
  <dataValidations count="3">
    <dataValidation type="list" allowBlank="1" showInputMessage="1" showErrorMessage="1" sqref="C2:D2 C3:C13 D3:D13">
      <formula1>"是,否"</formula1>
    </dataValidation>
    <dataValidation type="list" allowBlank="1" showInputMessage="1" showErrorMessage="1" sqref="H2:H13">
      <formula1>"未发放,已发放,已完成,退出,排除"</formula1>
    </dataValidation>
    <dataValidation type="list" allowBlank="1" showInputMessage="1" showErrorMessage="1" sqref="K2:K13">
      <formula1>"不适用,未发放,已发放,已完成,退出"</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
  <sheetViews>
    <sheetView workbookViewId="0">
      <pane xSplit="5" ySplit="1" topLeftCell="F2" activePane="bottomRight" state="frozen"/>
      <selection/>
      <selection pane="topRight"/>
      <selection pane="bottomLeft"/>
      <selection pane="bottomRight" activeCell="A1" sqref="A1"/>
    </sheetView>
  </sheetViews>
  <sheetFormatPr defaultColWidth="9" defaultRowHeight="14.4"/>
  <cols>
    <col min="1" max="1" width="10.712962962963" customWidth="1"/>
    <col min="2" max="3" width="14.712962962963" customWidth="1"/>
    <col min="4" max="4" width="30.712962962963" customWidth="1"/>
    <col min="5" max="5" width="52.712962962963" customWidth="1"/>
    <col min="6" max="10" width="18.712962962963" customWidth="1"/>
    <col min="11" max="11" width="16.712962962963" customWidth="1"/>
  </cols>
  <sheetData>
    <row r="1" ht="28.8" spans="1:11">
      <c r="A1" s="5" t="s">
        <v>43</v>
      </c>
      <c r="B1" s="5" t="s">
        <v>44</v>
      </c>
      <c r="C1" s="5" t="s">
        <v>45</v>
      </c>
      <c r="D1" s="5" t="s">
        <v>46</v>
      </c>
      <c r="E1" s="5" t="s">
        <v>47</v>
      </c>
      <c r="F1" s="5" t="s">
        <v>48</v>
      </c>
      <c r="G1" s="5" t="s">
        <v>49</v>
      </c>
      <c r="H1" s="5" t="s">
        <v>50</v>
      </c>
      <c r="I1" s="5" t="s">
        <v>51</v>
      </c>
      <c r="J1" s="5" t="s">
        <v>52</v>
      </c>
      <c r="K1" s="5" t="s">
        <v>53</v>
      </c>
    </row>
    <row r="2" spans="1:11">
      <c r="A2" s="3" t="s">
        <v>54</v>
      </c>
      <c r="B2" s="3" t="s">
        <v>55</v>
      </c>
      <c r="C2" s="3" t="s">
        <v>56</v>
      </c>
      <c r="D2" s="3" t="s">
        <v>57</v>
      </c>
      <c r="E2" s="3" t="s">
        <v>58</v>
      </c>
      <c r="F2" s="3" t="s">
        <v>59</v>
      </c>
      <c r="G2" s="3" t="s">
        <v>60</v>
      </c>
      <c r="H2" s="3" t="s">
        <v>61</v>
      </c>
      <c r="I2" s="3" t="s">
        <v>62</v>
      </c>
      <c r="J2" s="3" t="s">
        <v>63</v>
      </c>
      <c r="K2" s="3" t="s">
        <v>27</v>
      </c>
    </row>
    <row r="3" spans="1:11">
      <c r="A3" s="3" t="s">
        <v>64</v>
      </c>
      <c r="B3" s="3" t="s">
        <v>55</v>
      </c>
      <c r="C3" s="3" t="s">
        <v>56</v>
      </c>
      <c r="D3" s="3" t="s">
        <v>65</v>
      </c>
      <c r="E3" s="3" t="s">
        <v>66</v>
      </c>
      <c r="F3" s="3" t="s">
        <v>59</v>
      </c>
      <c r="G3" s="3" t="s">
        <v>60</v>
      </c>
      <c r="H3" s="3" t="s">
        <v>61</v>
      </c>
      <c r="I3" s="3" t="s">
        <v>62</v>
      </c>
      <c r="J3" s="3" t="s">
        <v>63</v>
      </c>
      <c r="K3" s="3" t="s">
        <v>27</v>
      </c>
    </row>
    <row r="4" spans="1:11">
      <c r="A4" s="3" t="s">
        <v>67</v>
      </c>
      <c r="B4" s="3" t="s">
        <v>55</v>
      </c>
      <c r="C4" s="3" t="s">
        <v>56</v>
      </c>
      <c r="D4" s="3" t="s">
        <v>68</v>
      </c>
      <c r="E4" s="3" t="s">
        <v>69</v>
      </c>
      <c r="F4" s="3" t="s">
        <v>59</v>
      </c>
      <c r="G4" s="3" t="s">
        <v>60</v>
      </c>
      <c r="H4" s="3" t="s">
        <v>61</v>
      </c>
      <c r="I4" s="3" t="s">
        <v>62</v>
      </c>
      <c r="J4" s="3" t="s">
        <v>63</v>
      </c>
      <c r="K4" s="3" t="s">
        <v>27</v>
      </c>
    </row>
    <row r="5" spans="1:11">
      <c r="A5" s="3" t="s">
        <v>70</v>
      </c>
      <c r="B5" s="3" t="s">
        <v>55</v>
      </c>
      <c r="C5" s="3" t="s">
        <v>71</v>
      </c>
      <c r="D5" s="3" t="s">
        <v>72</v>
      </c>
      <c r="E5" s="3" t="s">
        <v>73</v>
      </c>
      <c r="F5" s="3" t="s">
        <v>59</v>
      </c>
      <c r="G5" s="3" t="s">
        <v>60</v>
      </c>
      <c r="H5" s="3" t="s">
        <v>61</v>
      </c>
      <c r="I5" s="3" t="s">
        <v>62</v>
      </c>
      <c r="J5" s="3" t="s">
        <v>63</v>
      </c>
      <c r="K5" s="3" t="s">
        <v>27</v>
      </c>
    </row>
    <row r="6" spans="1:11">
      <c r="A6" s="3" t="s">
        <v>74</v>
      </c>
      <c r="B6" s="3" t="s">
        <v>55</v>
      </c>
      <c r="C6" s="3" t="s">
        <v>71</v>
      </c>
      <c r="D6" s="3" t="s">
        <v>75</v>
      </c>
      <c r="E6" s="3" t="s">
        <v>76</v>
      </c>
      <c r="F6" s="3" t="s">
        <v>59</v>
      </c>
      <c r="G6" s="3" t="s">
        <v>60</v>
      </c>
      <c r="H6" s="3" t="s">
        <v>61</v>
      </c>
      <c r="I6" s="3" t="s">
        <v>62</v>
      </c>
      <c r="J6" s="3" t="s">
        <v>63</v>
      </c>
      <c r="K6" s="3" t="s">
        <v>27</v>
      </c>
    </row>
    <row r="7" spans="1:11">
      <c r="A7" s="3" t="s">
        <v>77</v>
      </c>
      <c r="B7" s="3" t="s">
        <v>55</v>
      </c>
      <c r="C7" s="3" t="s">
        <v>71</v>
      </c>
      <c r="D7" s="3" t="s">
        <v>78</v>
      </c>
      <c r="E7" s="3" t="s">
        <v>79</v>
      </c>
      <c r="F7" s="3" t="s">
        <v>59</v>
      </c>
      <c r="G7" s="3" t="s">
        <v>60</v>
      </c>
      <c r="H7" s="3" t="s">
        <v>61</v>
      </c>
      <c r="I7" s="3" t="s">
        <v>62</v>
      </c>
      <c r="J7" s="3" t="s">
        <v>63</v>
      </c>
      <c r="K7" s="3" t="s">
        <v>27</v>
      </c>
    </row>
    <row r="8" ht="28.8" spans="1:11">
      <c r="A8" s="3" t="s">
        <v>80</v>
      </c>
      <c r="B8" s="3" t="s">
        <v>55</v>
      </c>
      <c r="C8" s="3" t="s">
        <v>71</v>
      </c>
      <c r="D8" s="3" t="s">
        <v>81</v>
      </c>
      <c r="E8" s="3" t="s">
        <v>82</v>
      </c>
      <c r="F8" s="3" t="s">
        <v>59</v>
      </c>
      <c r="G8" s="3" t="s">
        <v>60</v>
      </c>
      <c r="H8" s="3" t="s">
        <v>61</v>
      </c>
      <c r="I8" s="3" t="s">
        <v>62</v>
      </c>
      <c r="J8" s="3" t="s">
        <v>63</v>
      </c>
      <c r="K8" s="3" t="s">
        <v>27</v>
      </c>
    </row>
    <row r="9" spans="1:11">
      <c r="A9" s="3" t="s">
        <v>83</v>
      </c>
      <c r="B9" s="3" t="s">
        <v>55</v>
      </c>
      <c r="C9" s="3" t="s">
        <v>71</v>
      </c>
      <c r="D9" s="3" t="s">
        <v>84</v>
      </c>
      <c r="E9" s="3" t="s">
        <v>85</v>
      </c>
      <c r="F9" s="3" t="s">
        <v>59</v>
      </c>
      <c r="G9" s="3" t="s">
        <v>60</v>
      </c>
      <c r="H9" s="3" t="s">
        <v>61</v>
      </c>
      <c r="I9" s="3" t="s">
        <v>62</v>
      </c>
      <c r="J9" s="3" t="s">
        <v>63</v>
      </c>
      <c r="K9" s="3" t="s">
        <v>86</v>
      </c>
    </row>
    <row r="10" ht="28.8" spans="1:11">
      <c r="A10" s="3" t="s">
        <v>87</v>
      </c>
      <c r="B10" s="3" t="s">
        <v>55</v>
      </c>
      <c r="C10" s="3" t="s">
        <v>88</v>
      </c>
      <c r="D10" s="3" t="s">
        <v>89</v>
      </c>
      <c r="E10" s="3" t="s">
        <v>90</v>
      </c>
      <c r="F10" s="3" t="s">
        <v>59</v>
      </c>
      <c r="G10" s="3" t="s">
        <v>60</v>
      </c>
      <c r="H10" s="3" t="s">
        <v>61</v>
      </c>
      <c r="I10" s="3" t="s">
        <v>62</v>
      </c>
      <c r="J10" s="3" t="s">
        <v>63</v>
      </c>
      <c r="K10" s="3" t="s">
        <v>27</v>
      </c>
    </row>
    <row r="11" spans="1:11">
      <c r="A11" s="3" t="s">
        <v>91</v>
      </c>
      <c r="B11" s="3" t="s">
        <v>55</v>
      </c>
      <c r="C11" s="3" t="s">
        <v>88</v>
      </c>
      <c r="D11" s="3" t="s">
        <v>92</v>
      </c>
      <c r="E11" s="3" t="s">
        <v>93</v>
      </c>
      <c r="F11" s="3" t="s">
        <v>59</v>
      </c>
      <c r="G11" s="3" t="s">
        <v>60</v>
      </c>
      <c r="H11" s="3" t="s">
        <v>61</v>
      </c>
      <c r="I11" s="3" t="s">
        <v>62</v>
      </c>
      <c r="J11" s="3" t="s">
        <v>63</v>
      </c>
      <c r="K11" s="3" t="s">
        <v>27</v>
      </c>
    </row>
    <row r="12" spans="1:11">
      <c r="A12" s="3" t="s">
        <v>94</v>
      </c>
      <c r="B12" s="3" t="s">
        <v>55</v>
      </c>
      <c r="C12" s="3" t="s">
        <v>88</v>
      </c>
      <c r="D12" s="3" t="s">
        <v>95</v>
      </c>
      <c r="E12" s="3" t="s">
        <v>96</v>
      </c>
      <c r="F12" s="3" t="s">
        <v>59</v>
      </c>
      <c r="G12" s="3" t="s">
        <v>60</v>
      </c>
      <c r="H12" s="3" t="s">
        <v>61</v>
      </c>
      <c r="I12" s="3" t="s">
        <v>62</v>
      </c>
      <c r="J12" s="3" t="s">
        <v>63</v>
      </c>
      <c r="K12" s="3" t="s">
        <v>27</v>
      </c>
    </row>
    <row r="13" spans="1:11">
      <c r="A13" s="3" t="s">
        <v>97</v>
      </c>
      <c r="B13" s="3" t="s">
        <v>55</v>
      </c>
      <c r="C13" s="3" t="s">
        <v>88</v>
      </c>
      <c r="D13" s="3" t="s">
        <v>98</v>
      </c>
      <c r="E13" s="3" t="s">
        <v>99</v>
      </c>
      <c r="F13" s="3" t="s">
        <v>59</v>
      </c>
      <c r="G13" s="3" t="s">
        <v>60</v>
      </c>
      <c r="H13" s="3" t="s">
        <v>61</v>
      </c>
      <c r="I13" s="3" t="s">
        <v>62</v>
      </c>
      <c r="J13" s="3" t="s">
        <v>63</v>
      </c>
      <c r="K13" s="3" t="s">
        <v>27</v>
      </c>
    </row>
    <row r="14" spans="1:11">
      <c r="A14" s="3" t="s">
        <v>100</v>
      </c>
      <c r="B14" s="3" t="s">
        <v>55</v>
      </c>
      <c r="C14" s="3" t="s">
        <v>88</v>
      </c>
      <c r="D14" s="3" t="s">
        <v>101</v>
      </c>
      <c r="E14" s="3" t="s">
        <v>102</v>
      </c>
      <c r="F14" s="3" t="s">
        <v>59</v>
      </c>
      <c r="G14" s="3" t="s">
        <v>60</v>
      </c>
      <c r="H14" s="3" t="s">
        <v>61</v>
      </c>
      <c r="I14" s="3" t="s">
        <v>62</v>
      </c>
      <c r="J14" s="3" t="s">
        <v>63</v>
      </c>
      <c r="K14" s="3" t="s">
        <v>27</v>
      </c>
    </row>
    <row r="15" spans="1:11">
      <c r="A15" s="3" t="s">
        <v>103</v>
      </c>
      <c r="B15" s="3" t="s">
        <v>55</v>
      </c>
      <c r="C15" s="3" t="s">
        <v>88</v>
      </c>
      <c r="D15" s="3" t="s">
        <v>104</v>
      </c>
      <c r="E15" s="3" t="s">
        <v>105</v>
      </c>
      <c r="F15" s="3" t="s">
        <v>59</v>
      </c>
      <c r="G15" s="3" t="s">
        <v>60</v>
      </c>
      <c r="H15" s="3" t="s">
        <v>61</v>
      </c>
      <c r="I15" s="3" t="s">
        <v>62</v>
      </c>
      <c r="J15" s="3" t="s">
        <v>63</v>
      </c>
      <c r="K15" s="3" t="s">
        <v>27</v>
      </c>
    </row>
    <row r="16" spans="1:11">
      <c r="A16" s="3" t="s">
        <v>106</v>
      </c>
      <c r="B16" s="3" t="s">
        <v>55</v>
      </c>
      <c r="C16" s="3" t="s">
        <v>88</v>
      </c>
      <c r="D16" s="3" t="s">
        <v>107</v>
      </c>
      <c r="E16" s="3" t="s">
        <v>108</v>
      </c>
      <c r="F16" s="3" t="s">
        <v>59</v>
      </c>
      <c r="G16" s="3" t="s">
        <v>60</v>
      </c>
      <c r="H16" s="3" t="s">
        <v>61</v>
      </c>
      <c r="I16" s="3" t="s">
        <v>62</v>
      </c>
      <c r="J16" s="3" t="s">
        <v>63</v>
      </c>
      <c r="K16" s="3" t="s">
        <v>27</v>
      </c>
    </row>
    <row r="17" spans="1:11">
      <c r="A17" s="3" t="s">
        <v>109</v>
      </c>
      <c r="B17" s="3" t="s">
        <v>55</v>
      </c>
      <c r="C17" s="3" t="s">
        <v>110</v>
      </c>
      <c r="D17" s="3" t="s">
        <v>111</v>
      </c>
      <c r="E17" s="3" t="s">
        <v>112</v>
      </c>
      <c r="F17" s="3" t="s">
        <v>59</v>
      </c>
      <c r="G17" s="3" t="s">
        <v>60</v>
      </c>
      <c r="H17" s="3" t="s">
        <v>61</v>
      </c>
      <c r="I17" s="3" t="s">
        <v>62</v>
      </c>
      <c r="J17" s="3" t="s">
        <v>63</v>
      </c>
      <c r="K17" s="3" t="s">
        <v>27</v>
      </c>
    </row>
    <row r="18" spans="1:11">
      <c r="A18" s="3" t="s">
        <v>113</v>
      </c>
      <c r="B18" s="3" t="s">
        <v>55</v>
      </c>
      <c r="C18" s="3" t="s">
        <v>110</v>
      </c>
      <c r="D18" s="3" t="s">
        <v>114</v>
      </c>
      <c r="E18" s="3" t="s">
        <v>115</v>
      </c>
      <c r="F18" s="3" t="s">
        <v>59</v>
      </c>
      <c r="G18" s="3" t="s">
        <v>60</v>
      </c>
      <c r="H18" s="3" t="s">
        <v>61</v>
      </c>
      <c r="I18" s="3" t="s">
        <v>62</v>
      </c>
      <c r="J18" s="3" t="s">
        <v>63</v>
      </c>
      <c r="K18" s="3" t="s">
        <v>27</v>
      </c>
    </row>
    <row r="19" spans="1:11">
      <c r="A19" s="3" t="s">
        <v>116</v>
      </c>
      <c r="B19" s="3" t="s">
        <v>55</v>
      </c>
      <c r="C19" s="3" t="s">
        <v>110</v>
      </c>
      <c r="D19" s="3" t="s">
        <v>117</v>
      </c>
      <c r="E19" s="3" t="s">
        <v>118</v>
      </c>
      <c r="F19" s="3" t="s">
        <v>59</v>
      </c>
      <c r="G19" s="3" t="s">
        <v>60</v>
      </c>
      <c r="H19" s="3" t="s">
        <v>61</v>
      </c>
      <c r="I19" s="3" t="s">
        <v>62</v>
      </c>
      <c r="J19" s="3" t="s">
        <v>63</v>
      </c>
      <c r="K19" s="3" t="s">
        <v>27</v>
      </c>
    </row>
    <row r="20" spans="1:11">
      <c r="A20" s="3" t="s">
        <v>119</v>
      </c>
      <c r="B20" s="3" t="s">
        <v>55</v>
      </c>
      <c r="C20" s="3" t="s">
        <v>110</v>
      </c>
      <c r="D20" s="3" t="s">
        <v>120</v>
      </c>
      <c r="E20" s="3" t="s">
        <v>121</v>
      </c>
      <c r="F20" s="3" t="s">
        <v>59</v>
      </c>
      <c r="G20" s="3" t="s">
        <v>60</v>
      </c>
      <c r="H20" s="3" t="s">
        <v>61</v>
      </c>
      <c r="I20" s="3" t="s">
        <v>62</v>
      </c>
      <c r="J20" s="3" t="s">
        <v>63</v>
      </c>
      <c r="K20" s="3" t="s">
        <v>27</v>
      </c>
    </row>
    <row r="21" spans="1:11">
      <c r="A21" s="3" t="s">
        <v>122</v>
      </c>
      <c r="B21" s="3" t="s">
        <v>55</v>
      </c>
      <c r="C21" s="3" t="s">
        <v>110</v>
      </c>
      <c r="D21" s="3" t="s">
        <v>123</v>
      </c>
      <c r="E21" s="3" t="s">
        <v>124</v>
      </c>
      <c r="F21" s="3" t="s">
        <v>59</v>
      </c>
      <c r="G21" s="3" t="s">
        <v>60</v>
      </c>
      <c r="H21" s="3" t="s">
        <v>61</v>
      </c>
      <c r="I21" s="3" t="s">
        <v>62</v>
      </c>
      <c r="J21" s="3" t="s">
        <v>63</v>
      </c>
      <c r="K21" s="3" t="s">
        <v>27</v>
      </c>
    </row>
    <row r="22" ht="28.8" spans="1:11">
      <c r="A22" s="3" t="s">
        <v>125</v>
      </c>
      <c r="B22" s="3" t="s">
        <v>126</v>
      </c>
      <c r="C22" s="3" t="s">
        <v>127</v>
      </c>
      <c r="D22" s="3" t="s">
        <v>128</v>
      </c>
      <c r="E22" s="3" t="s">
        <v>129</v>
      </c>
      <c r="F22" s="3" t="s">
        <v>59</v>
      </c>
      <c r="G22" s="3" t="s">
        <v>130</v>
      </c>
      <c r="H22" s="3" t="s">
        <v>62</v>
      </c>
      <c r="I22" s="3" t="s">
        <v>131</v>
      </c>
      <c r="J22" s="3" t="s">
        <v>63</v>
      </c>
      <c r="K22" s="3" t="s">
        <v>27</v>
      </c>
    </row>
    <row r="23" spans="1:11">
      <c r="A23" s="3" t="s">
        <v>132</v>
      </c>
      <c r="B23" s="3" t="s">
        <v>126</v>
      </c>
      <c r="C23" s="3" t="s">
        <v>127</v>
      </c>
      <c r="D23" s="3" t="s">
        <v>133</v>
      </c>
      <c r="E23" s="3" t="s">
        <v>134</v>
      </c>
      <c r="F23" s="3" t="s">
        <v>59</v>
      </c>
      <c r="G23" s="3" t="s">
        <v>130</v>
      </c>
      <c r="H23" s="3" t="s">
        <v>62</v>
      </c>
      <c r="I23" s="3" t="s">
        <v>131</v>
      </c>
      <c r="J23" s="3" t="s">
        <v>63</v>
      </c>
      <c r="K23" s="3" t="s">
        <v>27</v>
      </c>
    </row>
    <row r="24" spans="1:11">
      <c r="A24" s="3" t="s">
        <v>135</v>
      </c>
      <c r="B24" s="3" t="s">
        <v>126</v>
      </c>
      <c r="C24" s="3" t="s">
        <v>127</v>
      </c>
      <c r="D24" s="3" t="s">
        <v>136</v>
      </c>
      <c r="E24" s="3" t="s">
        <v>137</v>
      </c>
      <c r="F24" s="3" t="s">
        <v>59</v>
      </c>
      <c r="G24" s="3" t="s">
        <v>130</v>
      </c>
      <c r="H24" s="3" t="s">
        <v>62</v>
      </c>
      <c r="I24" s="3" t="s">
        <v>131</v>
      </c>
      <c r="J24" s="3" t="s">
        <v>63</v>
      </c>
      <c r="K24" s="3" t="s">
        <v>27</v>
      </c>
    </row>
    <row r="25" spans="1:11">
      <c r="A25" s="3" t="s">
        <v>138</v>
      </c>
      <c r="B25" s="3" t="s">
        <v>126</v>
      </c>
      <c r="C25" s="3" t="s">
        <v>127</v>
      </c>
      <c r="D25" s="3" t="s">
        <v>139</v>
      </c>
      <c r="E25" s="3" t="s">
        <v>140</v>
      </c>
      <c r="F25" s="3" t="s">
        <v>59</v>
      </c>
      <c r="G25" s="3" t="s">
        <v>130</v>
      </c>
      <c r="H25" s="3" t="s">
        <v>62</v>
      </c>
      <c r="I25" s="3" t="s">
        <v>131</v>
      </c>
      <c r="J25" s="3" t="s">
        <v>63</v>
      </c>
      <c r="K25" s="3" t="s">
        <v>27</v>
      </c>
    </row>
    <row r="26" spans="1:11">
      <c r="A26" s="3" t="s">
        <v>141</v>
      </c>
      <c r="B26" s="3" t="s">
        <v>126</v>
      </c>
      <c r="C26" s="3" t="s">
        <v>127</v>
      </c>
      <c r="D26" s="3" t="s">
        <v>142</v>
      </c>
      <c r="E26" s="3" t="s">
        <v>143</v>
      </c>
      <c r="F26" s="3" t="s">
        <v>59</v>
      </c>
      <c r="G26" s="3" t="s">
        <v>130</v>
      </c>
      <c r="H26" s="3" t="s">
        <v>62</v>
      </c>
      <c r="I26" s="3" t="s">
        <v>131</v>
      </c>
      <c r="J26" s="3" t="s">
        <v>63</v>
      </c>
      <c r="K26" s="3" t="s">
        <v>27</v>
      </c>
    </row>
    <row r="27" spans="1:11">
      <c r="A27" s="3" t="s">
        <v>144</v>
      </c>
      <c r="B27" s="3" t="s">
        <v>126</v>
      </c>
      <c r="C27" s="3" t="s">
        <v>127</v>
      </c>
      <c r="D27" s="3" t="s">
        <v>145</v>
      </c>
      <c r="E27" s="3" t="s">
        <v>146</v>
      </c>
      <c r="F27" s="3" t="s">
        <v>59</v>
      </c>
      <c r="G27" s="3" t="s">
        <v>130</v>
      </c>
      <c r="H27" s="3" t="s">
        <v>62</v>
      </c>
      <c r="I27" s="3" t="s">
        <v>131</v>
      </c>
      <c r="J27" s="3" t="s">
        <v>63</v>
      </c>
      <c r="K27" s="3" t="s">
        <v>27</v>
      </c>
    </row>
    <row r="28" spans="1:11">
      <c r="A28" s="3" t="s">
        <v>147</v>
      </c>
      <c r="B28" s="3" t="s">
        <v>126</v>
      </c>
      <c r="C28" s="3" t="s">
        <v>127</v>
      </c>
      <c r="D28" s="3" t="s">
        <v>148</v>
      </c>
      <c r="E28" s="3" t="s">
        <v>149</v>
      </c>
      <c r="F28" s="3" t="s">
        <v>59</v>
      </c>
      <c r="G28" s="3" t="s">
        <v>130</v>
      </c>
      <c r="H28" s="3" t="s">
        <v>62</v>
      </c>
      <c r="I28" s="3" t="s">
        <v>131</v>
      </c>
      <c r="J28" s="3" t="s">
        <v>63</v>
      </c>
      <c r="K28" s="3" t="s">
        <v>27</v>
      </c>
    </row>
    <row r="29" spans="1:11">
      <c r="A29" s="3" t="s">
        <v>150</v>
      </c>
      <c r="B29" s="3" t="s">
        <v>126</v>
      </c>
      <c r="C29" s="3" t="s">
        <v>127</v>
      </c>
      <c r="D29" s="3" t="s">
        <v>151</v>
      </c>
      <c r="E29" s="3" t="s">
        <v>152</v>
      </c>
      <c r="F29" s="3" t="s">
        <v>59</v>
      </c>
      <c r="G29" s="3" t="s">
        <v>130</v>
      </c>
      <c r="H29" s="3" t="s">
        <v>62</v>
      </c>
      <c r="I29" s="3" t="s">
        <v>131</v>
      </c>
      <c r="J29" s="3" t="s">
        <v>63</v>
      </c>
      <c r="K29" s="3" t="s">
        <v>27</v>
      </c>
    </row>
    <row r="30" spans="1:11">
      <c r="A30" s="3" t="s">
        <v>153</v>
      </c>
      <c r="B30" s="3" t="s">
        <v>126</v>
      </c>
      <c r="C30" s="3" t="s">
        <v>127</v>
      </c>
      <c r="D30" s="3" t="s">
        <v>154</v>
      </c>
      <c r="E30" s="3" t="s">
        <v>155</v>
      </c>
      <c r="F30" s="3" t="s">
        <v>59</v>
      </c>
      <c r="G30" s="3" t="s">
        <v>130</v>
      </c>
      <c r="H30" s="3" t="s">
        <v>62</v>
      </c>
      <c r="I30" s="3" t="s">
        <v>131</v>
      </c>
      <c r="J30" s="3" t="s">
        <v>63</v>
      </c>
      <c r="K30" s="3" t="s">
        <v>27</v>
      </c>
    </row>
    <row r="31" spans="1:11">
      <c r="A31" s="3" t="s">
        <v>156</v>
      </c>
      <c r="B31" s="3" t="s">
        <v>157</v>
      </c>
      <c r="C31" s="3" t="s">
        <v>158</v>
      </c>
      <c r="D31" s="3" t="s">
        <v>159</v>
      </c>
      <c r="E31" s="3" t="s">
        <v>160</v>
      </c>
      <c r="F31" s="3" t="s">
        <v>59</v>
      </c>
      <c r="G31" s="3" t="s">
        <v>161</v>
      </c>
      <c r="H31" s="3" t="s">
        <v>62</v>
      </c>
      <c r="I31" s="3" t="s">
        <v>131</v>
      </c>
      <c r="J31" s="3" t="s">
        <v>63</v>
      </c>
      <c r="K31" s="3" t="s">
        <v>86</v>
      </c>
    </row>
    <row r="32" spans="1:11">
      <c r="A32" s="3" t="s">
        <v>162</v>
      </c>
      <c r="B32" s="3" t="s">
        <v>157</v>
      </c>
      <c r="C32" s="3" t="s">
        <v>158</v>
      </c>
      <c r="D32" s="3" t="s">
        <v>163</v>
      </c>
      <c r="E32" s="3" t="s">
        <v>164</v>
      </c>
      <c r="F32" s="3" t="s">
        <v>59</v>
      </c>
      <c r="G32" s="3" t="s">
        <v>161</v>
      </c>
      <c r="H32" s="3" t="s">
        <v>62</v>
      </c>
      <c r="I32" s="3" t="s">
        <v>131</v>
      </c>
      <c r="J32" s="3" t="s">
        <v>63</v>
      </c>
      <c r="K32" s="3" t="s">
        <v>27</v>
      </c>
    </row>
    <row r="33" spans="1:11">
      <c r="A33" s="3" t="s">
        <v>165</v>
      </c>
      <c r="B33" s="3" t="s">
        <v>157</v>
      </c>
      <c r="C33" s="3" t="s">
        <v>158</v>
      </c>
      <c r="D33" s="3" t="s">
        <v>166</v>
      </c>
      <c r="E33" s="3" t="s">
        <v>167</v>
      </c>
      <c r="F33" s="3" t="s">
        <v>59</v>
      </c>
      <c r="G33" s="3" t="s">
        <v>161</v>
      </c>
      <c r="H33" s="3" t="s">
        <v>62</v>
      </c>
      <c r="I33" s="3" t="s">
        <v>131</v>
      </c>
      <c r="J33" s="3" t="s">
        <v>63</v>
      </c>
      <c r="K33" s="3" t="s">
        <v>27</v>
      </c>
    </row>
    <row r="34" spans="1:11">
      <c r="A34" s="3" t="s">
        <v>168</v>
      </c>
      <c r="B34" s="3" t="s">
        <v>157</v>
      </c>
      <c r="C34" s="3" t="s">
        <v>158</v>
      </c>
      <c r="D34" s="3" t="s">
        <v>169</v>
      </c>
      <c r="E34" s="3" t="s">
        <v>170</v>
      </c>
      <c r="F34" s="3" t="s">
        <v>59</v>
      </c>
      <c r="G34" s="3" t="s">
        <v>161</v>
      </c>
      <c r="H34" s="3" t="s">
        <v>62</v>
      </c>
      <c r="I34" s="3" t="s">
        <v>131</v>
      </c>
      <c r="J34" s="3" t="s">
        <v>63</v>
      </c>
      <c r="K34" s="3" t="s">
        <v>27</v>
      </c>
    </row>
    <row r="35" spans="1:11">
      <c r="A35" s="3" t="s">
        <v>25</v>
      </c>
      <c r="B35" s="3" t="s">
        <v>171</v>
      </c>
      <c r="C35" s="3" t="s">
        <v>172</v>
      </c>
      <c r="D35" s="3" t="s">
        <v>173</v>
      </c>
      <c r="E35" s="3" t="s">
        <v>174</v>
      </c>
      <c r="F35" s="3" t="s">
        <v>59</v>
      </c>
      <c r="G35" s="3" t="s">
        <v>175</v>
      </c>
      <c r="H35" s="3" t="s">
        <v>60</v>
      </c>
      <c r="I35" s="3" t="s">
        <v>131</v>
      </c>
      <c r="J35" s="3" t="s">
        <v>63</v>
      </c>
      <c r="K35" s="3" t="s">
        <v>27</v>
      </c>
    </row>
    <row r="36" spans="1:11">
      <c r="A36" s="3" t="s">
        <v>31</v>
      </c>
      <c r="B36" s="3" t="s">
        <v>171</v>
      </c>
      <c r="C36" s="3" t="s">
        <v>172</v>
      </c>
      <c r="D36" s="3" t="s">
        <v>176</v>
      </c>
      <c r="E36" s="3" t="s">
        <v>177</v>
      </c>
      <c r="F36" s="3" t="s">
        <v>59</v>
      </c>
      <c r="G36" s="3" t="s">
        <v>175</v>
      </c>
      <c r="H36" s="3" t="s">
        <v>60</v>
      </c>
      <c r="I36" s="3" t="s">
        <v>131</v>
      </c>
      <c r="J36" s="3" t="s">
        <v>63</v>
      </c>
      <c r="K36" s="3" t="s">
        <v>27</v>
      </c>
    </row>
    <row r="37" spans="1:11">
      <c r="A37" s="3" t="s">
        <v>32</v>
      </c>
      <c r="B37" s="3" t="s">
        <v>171</v>
      </c>
      <c r="C37" s="3" t="s">
        <v>172</v>
      </c>
      <c r="D37" s="3" t="s">
        <v>178</v>
      </c>
      <c r="E37" s="3" t="s">
        <v>179</v>
      </c>
      <c r="F37" s="3" t="s">
        <v>59</v>
      </c>
      <c r="G37" s="3" t="s">
        <v>175</v>
      </c>
      <c r="H37" s="3" t="s">
        <v>60</v>
      </c>
      <c r="I37" s="3" t="s">
        <v>131</v>
      </c>
      <c r="J37" s="3" t="s">
        <v>63</v>
      </c>
      <c r="K37" s="3" t="s">
        <v>27</v>
      </c>
    </row>
    <row r="38" spans="1:11">
      <c r="A38" s="3" t="s">
        <v>33</v>
      </c>
      <c r="B38" s="3" t="s">
        <v>171</v>
      </c>
      <c r="C38" s="3" t="s">
        <v>172</v>
      </c>
      <c r="D38" s="3" t="s">
        <v>180</v>
      </c>
      <c r="E38" s="3" t="s">
        <v>181</v>
      </c>
      <c r="F38" s="3" t="s">
        <v>59</v>
      </c>
      <c r="G38" s="3" t="s">
        <v>175</v>
      </c>
      <c r="H38" s="3" t="s">
        <v>60</v>
      </c>
      <c r="I38" s="3" t="s">
        <v>131</v>
      </c>
      <c r="J38" s="3" t="s">
        <v>63</v>
      </c>
      <c r="K38" s="3" t="s">
        <v>27</v>
      </c>
    </row>
    <row r="39" spans="1:11">
      <c r="A39" s="3" t="s">
        <v>34</v>
      </c>
      <c r="B39" s="3" t="s">
        <v>171</v>
      </c>
      <c r="C39" s="3" t="s">
        <v>172</v>
      </c>
      <c r="D39" s="3" t="s">
        <v>182</v>
      </c>
      <c r="E39" s="3" t="s">
        <v>183</v>
      </c>
      <c r="F39" s="3" t="s">
        <v>59</v>
      </c>
      <c r="G39" s="3" t="s">
        <v>175</v>
      </c>
      <c r="H39" s="3" t="s">
        <v>60</v>
      </c>
      <c r="I39" s="3" t="s">
        <v>131</v>
      </c>
      <c r="J39" s="3" t="s">
        <v>63</v>
      </c>
      <c r="K39" s="3" t="s">
        <v>27</v>
      </c>
    </row>
    <row r="40" spans="1:11">
      <c r="A40" s="3" t="s">
        <v>35</v>
      </c>
      <c r="B40" s="3" t="s">
        <v>171</v>
      </c>
      <c r="C40" s="3" t="s">
        <v>172</v>
      </c>
      <c r="D40" s="3" t="s">
        <v>184</v>
      </c>
      <c r="E40" s="3" t="s">
        <v>185</v>
      </c>
      <c r="F40" s="3" t="s">
        <v>59</v>
      </c>
      <c r="G40" s="3" t="s">
        <v>175</v>
      </c>
      <c r="H40" s="3" t="s">
        <v>60</v>
      </c>
      <c r="I40" s="3" t="s">
        <v>131</v>
      </c>
      <c r="J40" s="3" t="s">
        <v>63</v>
      </c>
      <c r="K40" s="3" t="s">
        <v>27</v>
      </c>
    </row>
    <row r="41" spans="1:11">
      <c r="A41" s="3" t="s">
        <v>186</v>
      </c>
      <c r="B41" s="3" t="s">
        <v>171</v>
      </c>
      <c r="C41" s="3" t="s">
        <v>172</v>
      </c>
      <c r="D41" s="3" t="s">
        <v>187</v>
      </c>
      <c r="E41" s="3" t="s">
        <v>188</v>
      </c>
      <c r="F41" s="3" t="s">
        <v>59</v>
      </c>
      <c r="G41" s="3" t="s">
        <v>175</v>
      </c>
      <c r="H41" s="3" t="s">
        <v>60</v>
      </c>
      <c r="I41" s="3" t="s">
        <v>131</v>
      </c>
      <c r="J41" s="3" t="s">
        <v>63</v>
      </c>
      <c r="K41" s="3" t="s">
        <v>27</v>
      </c>
    </row>
    <row r="42" spans="1:11">
      <c r="A42" s="3" t="s">
        <v>189</v>
      </c>
      <c r="B42" s="3" t="s">
        <v>171</v>
      </c>
      <c r="C42" s="3" t="s">
        <v>172</v>
      </c>
      <c r="D42" s="3" t="s">
        <v>190</v>
      </c>
      <c r="E42" s="3" t="s">
        <v>191</v>
      </c>
      <c r="F42" s="3" t="s">
        <v>59</v>
      </c>
      <c r="G42" s="3" t="s">
        <v>175</v>
      </c>
      <c r="H42" s="3" t="s">
        <v>60</v>
      </c>
      <c r="I42" s="3" t="s">
        <v>131</v>
      </c>
      <c r="J42" s="3" t="s">
        <v>63</v>
      </c>
      <c r="K42" s="3" t="s">
        <v>27</v>
      </c>
    </row>
    <row r="43" spans="1:11">
      <c r="A43" s="3" t="s">
        <v>192</v>
      </c>
      <c r="B43" s="3" t="s">
        <v>171</v>
      </c>
      <c r="C43" s="3" t="s">
        <v>172</v>
      </c>
      <c r="D43" s="3" t="s">
        <v>193</v>
      </c>
      <c r="E43" s="3" t="s">
        <v>194</v>
      </c>
      <c r="F43" s="3" t="s">
        <v>59</v>
      </c>
      <c r="G43" s="3" t="s">
        <v>175</v>
      </c>
      <c r="H43" s="3" t="s">
        <v>60</v>
      </c>
      <c r="I43" s="3" t="s">
        <v>131</v>
      </c>
      <c r="J43" s="3" t="s">
        <v>63</v>
      </c>
      <c r="K43" s="3" t="s">
        <v>27</v>
      </c>
    </row>
  </sheetData>
  <autoFilter xmlns:etc="http://www.wps.cn/officeDocument/2017/etCustomData" ref="A1:K43" etc:filterBottomFollowUsedRange="0">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5"/>
  <sheetViews>
    <sheetView workbookViewId="0">
      <pane xSplit="4" ySplit="1" topLeftCell="E2" activePane="bottomRight" state="frozen"/>
      <selection/>
      <selection pane="topRight"/>
      <selection pane="bottomLeft"/>
      <selection pane="bottomRight" activeCell="A1" sqref="A1"/>
    </sheetView>
  </sheetViews>
  <sheetFormatPr defaultColWidth="9" defaultRowHeight="14.4"/>
  <cols>
    <col min="1" max="3" width="11.712962962963" customWidth="1"/>
    <col min="4" max="9" width="14.712962962963" customWidth="1"/>
    <col min="10" max="10" width="42.712962962963" customWidth="1"/>
    <col min="11" max="11" width="12.712962962963" customWidth="1"/>
  </cols>
  <sheetData>
    <row r="1" spans="1:11">
      <c r="A1" s="5" t="s">
        <v>13</v>
      </c>
      <c r="B1" s="5" t="s">
        <v>14</v>
      </c>
      <c r="C1" s="5" t="s">
        <v>43</v>
      </c>
      <c r="D1" s="5" t="s">
        <v>44</v>
      </c>
      <c r="E1" s="5" t="s">
        <v>195</v>
      </c>
      <c r="F1" s="5" t="s">
        <v>49</v>
      </c>
      <c r="G1" s="5" t="s">
        <v>50</v>
      </c>
      <c r="H1" s="5" t="s">
        <v>51</v>
      </c>
      <c r="I1" s="5" t="s">
        <v>52</v>
      </c>
      <c r="J1" s="5" t="s">
        <v>196</v>
      </c>
      <c r="K1" s="5" t="s">
        <v>197</v>
      </c>
    </row>
    <row r="2" spans="1:11">
      <c r="A2" s="3" t="s">
        <v>25</v>
      </c>
      <c r="B2" s="3" t="s">
        <v>26</v>
      </c>
      <c r="C2" s="3" t="s">
        <v>54</v>
      </c>
      <c r="D2" s="3" t="s">
        <v>55</v>
      </c>
      <c r="E2" s="7">
        <v>4</v>
      </c>
      <c r="F2" s="7">
        <v>4</v>
      </c>
      <c r="G2" s="7">
        <v>4</v>
      </c>
      <c r="H2" s="7">
        <v>4</v>
      </c>
      <c r="I2" s="7">
        <v>3</v>
      </c>
      <c r="J2" s="6"/>
      <c r="K2" s="3" t="s">
        <v>27</v>
      </c>
    </row>
    <row r="3" spans="1:11">
      <c r="A3" s="3" t="s">
        <v>25</v>
      </c>
      <c r="B3" s="3" t="s">
        <v>26</v>
      </c>
      <c r="C3" s="3" t="s">
        <v>64</v>
      </c>
      <c r="D3" s="3" t="s">
        <v>55</v>
      </c>
      <c r="E3" s="7">
        <v>4</v>
      </c>
      <c r="F3" s="7">
        <v>4</v>
      </c>
      <c r="G3" s="7">
        <v>4</v>
      </c>
      <c r="H3" s="7">
        <v>4</v>
      </c>
      <c r="I3" s="7">
        <v>4</v>
      </c>
      <c r="J3" s="6"/>
      <c r="K3" s="3" t="s">
        <v>27</v>
      </c>
    </row>
    <row r="4" spans="1:11">
      <c r="A4" s="3" t="s">
        <v>25</v>
      </c>
      <c r="B4" s="3" t="s">
        <v>26</v>
      </c>
      <c r="C4" s="3" t="s">
        <v>67</v>
      </c>
      <c r="D4" s="3" t="s">
        <v>55</v>
      </c>
      <c r="E4" s="7">
        <v>4</v>
      </c>
      <c r="F4" s="7">
        <v>4</v>
      </c>
      <c r="G4" s="7">
        <v>3</v>
      </c>
      <c r="H4" s="7">
        <v>4</v>
      </c>
      <c r="I4" s="7">
        <v>4</v>
      </c>
      <c r="J4" s="6" t="s">
        <v>198</v>
      </c>
      <c r="K4" s="3" t="s">
        <v>27</v>
      </c>
    </row>
    <row r="5" spans="1:11">
      <c r="A5" s="3" t="s">
        <v>25</v>
      </c>
      <c r="B5" s="3" t="s">
        <v>26</v>
      </c>
      <c r="C5" s="3" t="s">
        <v>70</v>
      </c>
      <c r="D5" s="3" t="s">
        <v>55</v>
      </c>
      <c r="E5" s="7">
        <v>4</v>
      </c>
      <c r="F5" s="7">
        <v>4</v>
      </c>
      <c r="G5" s="7">
        <v>3</v>
      </c>
      <c r="H5" s="7">
        <v>4</v>
      </c>
      <c r="I5" s="7">
        <v>3</v>
      </c>
      <c r="J5" s="6"/>
      <c r="K5" s="3" t="s">
        <v>27</v>
      </c>
    </row>
    <row r="6" spans="1:11">
      <c r="A6" s="3" t="s">
        <v>25</v>
      </c>
      <c r="B6" s="3" t="s">
        <v>26</v>
      </c>
      <c r="C6" s="3" t="s">
        <v>74</v>
      </c>
      <c r="D6" s="3" t="s">
        <v>55</v>
      </c>
      <c r="E6" s="7">
        <v>4</v>
      </c>
      <c r="F6" s="7">
        <v>3</v>
      </c>
      <c r="G6" s="7">
        <v>4</v>
      </c>
      <c r="H6" s="7">
        <v>4</v>
      </c>
      <c r="I6" s="7">
        <v>3</v>
      </c>
      <c r="J6" s="6"/>
      <c r="K6" s="3" t="s">
        <v>27</v>
      </c>
    </row>
    <row r="7" spans="1:11">
      <c r="A7" s="3" t="s">
        <v>25</v>
      </c>
      <c r="B7" s="3" t="s">
        <v>26</v>
      </c>
      <c r="C7" s="3" t="s">
        <v>77</v>
      </c>
      <c r="D7" s="3" t="s">
        <v>55</v>
      </c>
      <c r="E7" s="7">
        <v>4</v>
      </c>
      <c r="F7" s="7">
        <v>4</v>
      </c>
      <c r="G7" s="7">
        <v>4</v>
      </c>
      <c r="H7" s="7">
        <v>1</v>
      </c>
      <c r="I7" s="7">
        <v>4</v>
      </c>
      <c r="J7" s="6"/>
      <c r="K7" s="3" t="s">
        <v>27</v>
      </c>
    </row>
    <row r="8" spans="1:11">
      <c r="A8" s="3" t="s">
        <v>25</v>
      </c>
      <c r="B8" s="3" t="s">
        <v>26</v>
      </c>
      <c r="C8" s="3" t="s">
        <v>80</v>
      </c>
      <c r="D8" s="3" t="s">
        <v>55</v>
      </c>
      <c r="E8" s="7">
        <v>4</v>
      </c>
      <c r="F8" s="7">
        <v>3</v>
      </c>
      <c r="G8" s="7">
        <v>4</v>
      </c>
      <c r="H8" s="7">
        <v>3</v>
      </c>
      <c r="I8" s="7">
        <v>4</v>
      </c>
      <c r="J8" s="6"/>
      <c r="K8" s="3" t="s">
        <v>27</v>
      </c>
    </row>
    <row r="9" spans="1:11">
      <c r="A9" s="3" t="s">
        <v>25</v>
      </c>
      <c r="B9" s="3" t="s">
        <v>26</v>
      </c>
      <c r="C9" s="3" t="s">
        <v>83</v>
      </c>
      <c r="D9" s="3" t="s">
        <v>55</v>
      </c>
      <c r="E9" s="7">
        <v>3</v>
      </c>
      <c r="F9" s="7">
        <v>4</v>
      </c>
      <c r="G9" s="7">
        <v>4</v>
      </c>
      <c r="H9" s="7">
        <v>2</v>
      </c>
      <c r="I9" s="7">
        <v>3</v>
      </c>
      <c r="J9" s="6"/>
      <c r="K9" s="3" t="s">
        <v>27</v>
      </c>
    </row>
    <row r="10" spans="1:11">
      <c r="A10" s="3" t="s">
        <v>25</v>
      </c>
      <c r="B10" s="3" t="s">
        <v>26</v>
      </c>
      <c r="C10" s="3" t="s">
        <v>87</v>
      </c>
      <c r="D10" s="3" t="s">
        <v>55</v>
      </c>
      <c r="E10" s="7">
        <v>4</v>
      </c>
      <c r="F10" s="7">
        <v>4</v>
      </c>
      <c r="G10" s="7">
        <v>4</v>
      </c>
      <c r="H10" s="7">
        <v>4</v>
      </c>
      <c r="I10" s="7">
        <v>3</v>
      </c>
      <c r="J10" s="6"/>
      <c r="K10" s="3" t="s">
        <v>27</v>
      </c>
    </row>
    <row r="11" spans="1:11">
      <c r="A11" s="3" t="s">
        <v>25</v>
      </c>
      <c r="B11" s="3" t="s">
        <v>26</v>
      </c>
      <c r="C11" s="3" t="s">
        <v>91</v>
      </c>
      <c r="D11" s="3" t="s">
        <v>55</v>
      </c>
      <c r="E11" s="7">
        <v>4</v>
      </c>
      <c r="F11" s="7">
        <v>4</v>
      </c>
      <c r="G11" s="7">
        <v>4</v>
      </c>
      <c r="H11" s="7">
        <v>4</v>
      </c>
      <c r="I11" s="7">
        <v>4</v>
      </c>
      <c r="J11" s="6"/>
      <c r="K11" s="3" t="s">
        <v>27</v>
      </c>
    </row>
    <row r="12" spans="1:11">
      <c r="A12" s="3" t="s">
        <v>25</v>
      </c>
      <c r="B12" s="3" t="s">
        <v>26</v>
      </c>
      <c r="C12" s="3" t="s">
        <v>94</v>
      </c>
      <c r="D12" s="3" t="s">
        <v>55</v>
      </c>
      <c r="E12" s="7">
        <v>4</v>
      </c>
      <c r="F12" s="7">
        <v>4</v>
      </c>
      <c r="G12" s="7">
        <v>4</v>
      </c>
      <c r="H12" s="7">
        <v>4</v>
      </c>
      <c r="I12" s="7">
        <v>4</v>
      </c>
      <c r="J12" s="6"/>
      <c r="K12" s="3" t="s">
        <v>27</v>
      </c>
    </row>
    <row r="13" spans="1:11">
      <c r="A13" s="3" t="s">
        <v>25</v>
      </c>
      <c r="B13" s="3" t="s">
        <v>26</v>
      </c>
      <c r="C13" s="3" t="s">
        <v>97</v>
      </c>
      <c r="D13" s="3" t="s">
        <v>55</v>
      </c>
      <c r="E13" s="7">
        <v>4</v>
      </c>
      <c r="F13" s="7">
        <v>4</v>
      </c>
      <c r="G13" s="7">
        <v>3</v>
      </c>
      <c r="H13" s="7">
        <v>3</v>
      </c>
      <c r="I13" s="7">
        <v>4</v>
      </c>
      <c r="J13" s="6"/>
      <c r="K13" s="3" t="s">
        <v>27</v>
      </c>
    </row>
    <row r="14" spans="1:11">
      <c r="A14" s="3" t="s">
        <v>25</v>
      </c>
      <c r="B14" s="3" t="s">
        <v>26</v>
      </c>
      <c r="C14" s="3" t="s">
        <v>100</v>
      </c>
      <c r="D14" s="3" t="s">
        <v>55</v>
      </c>
      <c r="E14" s="7">
        <v>4</v>
      </c>
      <c r="F14" s="7">
        <v>4</v>
      </c>
      <c r="G14" s="7">
        <v>4</v>
      </c>
      <c r="H14" s="7">
        <v>3</v>
      </c>
      <c r="I14" s="7">
        <v>3</v>
      </c>
      <c r="J14" s="6" t="s">
        <v>199</v>
      </c>
      <c r="K14" s="3" t="s">
        <v>27</v>
      </c>
    </row>
    <row r="15" spans="1:11">
      <c r="A15" s="3" t="s">
        <v>25</v>
      </c>
      <c r="B15" s="3" t="s">
        <v>26</v>
      </c>
      <c r="C15" s="3" t="s">
        <v>103</v>
      </c>
      <c r="D15" s="3" t="s">
        <v>55</v>
      </c>
      <c r="E15" s="7">
        <v>4</v>
      </c>
      <c r="F15" s="7">
        <v>4</v>
      </c>
      <c r="G15" s="7">
        <v>3</v>
      </c>
      <c r="H15" s="7">
        <v>4</v>
      </c>
      <c r="I15" s="7">
        <v>4</v>
      </c>
      <c r="J15" s="6"/>
      <c r="K15" s="3" t="s">
        <v>27</v>
      </c>
    </row>
    <row r="16" spans="1:11">
      <c r="A16" s="3" t="s">
        <v>25</v>
      </c>
      <c r="B16" s="3" t="s">
        <v>26</v>
      </c>
      <c r="C16" s="3" t="s">
        <v>106</v>
      </c>
      <c r="D16" s="3" t="s">
        <v>55</v>
      </c>
      <c r="E16" s="7">
        <v>4</v>
      </c>
      <c r="F16" s="7">
        <v>4</v>
      </c>
      <c r="G16" s="7">
        <v>4</v>
      </c>
      <c r="H16" s="7">
        <v>4</v>
      </c>
      <c r="I16" s="7">
        <v>4</v>
      </c>
      <c r="J16" s="6"/>
      <c r="K16" s="3" t="s">
        <v>27</v>
      </c>
    </row>
    <row r="17" spans="1:11">
      <c r="A17" s="3" t="s">
        <v>25</v>
      </c>
      <c r="B17" s="3" t="s">
        <v>26</v>
      </c>
      <c r="C17" s="3" t="s">
        <v>109</v>
      </c>
      <c r="D17" s="3" t="s">
        <v>55</v>
      </c>
      <c r="E17" s="7">
        <v>1</v>
      </c>
      <c r="F17" s="7">
        <v>3</v>
      </c>
      <c r="G17" s="7">
        <v>1</v>
      </c>
      <c r="H17" s="7">
        <v>4</v>
      </c>
      <c r="I17" s="7">
        <v>2</v>
      </c>
      <c r="J17" s="6"/>
      <c r="K17" s="3" t="s">
        <v>27</v>
      </c>
    </row>
    <row r="18" spans="1:11">
      <c r="A18" s="3" t="s">
        <v>25</v>
      </c>
      <c r="B18" s="3" t="s">
        <v>26</v>
      </c>
      <c r="C18" s="3" t="s">
        <v>113</v>
      </c>
      <c r="D18" s="3" t="s">
        <v>55</v>
      </c>
      <c r="E18" s="7">
        <v>4</v>
      </c>
      <c r="F18" s="7">
        <v>3</v>
      </c>
      <c r="G18" s="7">
        <v>3</v>
      </c>
      <c r="H18" s="7">
        <v>3</v>
      </c>
      <c r="I18" s="7">
        <v>4</v>
      </c>
      <c r="J18" s="6"/>
      <c r="K18" s="3" t="s">
        <v>27</v>
      </c>
    </row>
    <row r="19" spans="1:11">
      <c r="A19" s="3" t="s">
        <v>25</v>
      </c>
      <c r="B19" s="3" t="s">
        <v>26</v>
      </c>
      <c r="C19" s="3" t="s">
        <v>116</v>
      </c>
      <c r="D19" s="3" t="s">
        <v>55</v>
      </c>
      <c r="E19" s="7">
        <v>4</v>
      </c>
      <c r="F19" s="7">
        <v>3</v>
      </c>
      <c r="G19" s="7">
        <v>4</v>
      </c>
      <c r="H19" s="7">
        <v>4</v>
      </c>
      <c r="I19" s="7">
        <v>4</v>
      </c>
      <c r="J19" s="6"/>
      <c r="K19" s="3" t="s">
        <v>27</v>
      </c>
    </row>
    <row r="20" spans="1:11">
      <c r="A20" s="3" t="s">
        <v>25</v>
      </c>
      <c r="B20" s="3" t="s">
        <v>26</v>
      </c>
      <c r="C20" s="3" t="s">
        <v>119</v>
      </c>
      <c r="D20" s="3" t="s">
        <v>55</v>
      </c>
      <c r="E20" s="7">
        <v>3</v>
      </c>
      <c r="F20" s="7">
        <v>4</v>
      </c>
      <c r="G20" s="7">
        <v>4</v>
      </c>
      <c r="H20" s="7">
        <v>3</v>
      </c>
      <c r="I20" s="7">
        <v>4</v>
      </c>
      <c r="J20" s="6"/>
      <c r="K20" s="3" t="s">
        <v>27</v>
      </c>
    </row>
    <row r="21" spans="1:11">
      <c r="A21" s="3" t="s">
        <v>25</v>
      </c>
      <c r="B21" s="3" t="s">
        <v>26</v>
      </c>
      <c r="C21" s="3" t="s">
        <v>122</v>
      </c>
      <c r="D21" s="3" t="s">
        <v>55</v>
      </c>
      <c r="E21" s="7">
        <v>3</v>
      </c>
      <c r="F21" s="7">
        <v>4</v>
      </c>
      <c r="G21" s="7">
        <v>4</v>
      </c>
      <c r="H21" s="7">
        <v>3</v>
      </c>
      <c r="I21" s="7">
        <v>3</v>
      </c>
      <c r="J21" s="6"/>
      <c r="K21" s="3" t="s">
        <v>27</v>
      </c>
    </row>
    <row r="22" spans="1:11">
      <c r="A22" s="3" t="s">
        <v>25</v>
      </c>
      <c r="B22" s="3" t="s">
        <v>26</v>
      </c>
      <c r="C22" s="3" t="s">
        <v>125</v>
      </c>
      <c r="D22" s="3" t="s">
        <v>126</v>
      </c>
      <c r="E22" s="7">
        <v>3</v>
      </c>
      <c r="F22" s="7">
        <v>4</v>
      </c>
      <c r="G22" s="7">
        <v>4</v>
      </c>
      <c r="H22" s="7">
        <v>4</v>
      </c>
      <c r="I22" s="7">
        <v>3</v>
      </c>
      <c r="J22" s="6"/>
      <c r="K22" s="3" t="s">
        <v>27</v>
      </c>
    </row>
    <row r="23" spans="1:11">
      <c r="A23" s="3" t="s">
        <v>25</v>
      </c>
      <c r="B23" s="3" t="s">
        <v>26</v>
      </c>
      <c r="C23" s="3" t="s">
        <v>132</v>
      </c>
      <c r="D23" s="3" t="s">
        <v>126</v>
      </c>
      <c r="E23" s="7">
        <v>4</v>
      </c>
      <c r="F23" s="7">
        <v>4</v>
      </c>
      <c r="G23" s="7">
        <v>4</v>
      </c>
      <c r="H23" s="7">
        <v>4</v>
      </c>
      <c r="I23" s="7">
        <v>3</v>
      </c>
      <c r="J23" s="6"/>
      <c r="K23" s="3" t="s">
        <v>27</v>
      </c>
    </row>
    <row r="24" spans="1:11">
      <c r="A24" s="3" t="s">
        <v>25</v>
      </c>
      <c r="B24" s="3" t="s">
        <v>26</v>
      </c>
      <c r="C24" s="3" t="s">
        <v>135</v>
      </c>
      <c r="D24" s="3" t="s">
        <v>126</v>
      </c>
      <c r="E24" s="7">
        <v>4</v>
      </c>
      <c r="F24" s="7">
        <v>4</v>
      </c>
      <c r="G24" s="7">
        <v>4</v>
      </c>
      <c r="H24" s="7">
        <v>4</v>
      </c>
      <c r="I24" s="7">
        <v>3</v>
      </c>
      <c r="J24" s="6"/>
      <c r="K24" s="3" t="s">
        <v>27</v>
      </c>
    </row>
    <row r="25" spans="1:11">
      <c r="A25" s="3" t="s">
        <v>25</v>
      </c>
      <c r="B25" s="3" t="s">
        <v>26</v>
      </c>
      <c r="C25" s="3" t="s">
        <v>138</v>
      </c>
      <c r="D25" s="3" t="s">
        <v>126</v>
      </c>
      <c r="E25" s="7">
        <v>4</v>
      </c>
      <c r="F25" s="7">
        <v>4</v>
      </c>
      <c r="G25" s="7">
        <v>4</v>
      </c>
      <c r="H25" s="7">
        <v>4</v>
      </c>
      <c r="I25" s="7">
        <v>4</v>
      </c>
      <c r="J25" s="6"/>
      <c r="K25" s="3" t="s">
        <v>27</v>
      </c>
    </row>
    <row r="26" spans="1:11">
      <c r="A26" s="3" t="s">
        <v>25</v>
      </c>
      <c r="B26" s="3" t="s">
        <v>26</v>
      </c>
      <c r="C26" s="3" t="s">
        <v>141</v>
      </c>
      <c r="D26" s="3" t="s">
        <v>126</v>
      </c>
      <c r="E26" s="7">
        <v>3</v>
      </c>
      <c r="F26" s="7">
        <v>4</v>
      </c>
      <c r="G26" s="7">
        <v>4</v>
      </c>
      <c r="H26" s="7">
        <v>3</v>
      </c>
      <c r="I26" s="7">
        <v>2</v>
      </c>
      <c r="J26" s="6"/>
      <c r="K26" s="3" t="s">
        <v>27</v>
      </c>
    </row>
    <row r="27" spans="1:11">
      <c r="A27" s="3" t="s">
        <v>25</v>
      </c>
      <c r="B27" s="3" t="s">
        <v>26</v>
      </c>
      <c r="C27" s="3" t="s">
        <v>144</v>
      </c>
      <c r="D27" s="3" t="s">
        <v>126</v>
      </c>
      <c r="E27" s="7">
        <v>4</v>
      </c>
      <c r="F27" s="7">
        <v>3</v>
      </c>
      <c r="G27" s="7">
        <v>1</v>
      </c>
      <c r="H27" s="7">
        <v>2</v>
      </c>
      <c r="I27" s="7">
        <v>4</v>
      </c>
      <c r="J27" s="6"/>
      <c r="K27" s="3" t="s">
        <v>27</v>
      </c>
    </row>
    <row r="28" spans="1:11">
      <c r="A28" s="3" t="s">
        <v>25</v>
      </c>
      <c r="B28" s="3" t="s">
        <v>26</v>
      </c>
      <c r="C28" s="3" t="s">
        <v>147</v>
      </c>
      <c r="D28" s="3" t="s">
        <v>126</v>
      </c>
      <c r="E28" s="7">
        <v>4</v>
      </c>
      <c r="F28" s="7">
        <v>3</v>
      </c>
      <c r="G28" s="7">
        <v>3</v>
      </c>
      <c r="H28" s="7">
        <v>3</v>
      </c>
      <c r="I28" s="7">
        <v>4</v>
      </c>
      <c r="J28" s="6"/>
      <c r="K28" s="3" t="s">
        <v>27</v>
      </c>
    </row>
    <row r="29" spans="1:11">
      <c r="A29" s="3" t="s">
        <v>25</v>
      </c>
      <c r="B29" s="3" t="s">
        <v>26</v>
      </c>
      <c r="C29" s="3" t="s">
        <v>150</v>
      </c>
      <c r="D29" s="3" t="s">
        <v>126</v>
      </c>
      <c r="E29" s="7">
        <v>3</v>
      </c>
      <c r="F29" s="7">
        <v>4</v>
      </c>
      <c r="G29" s="7">
        <v>3</v>
      </c>
      <c r="H29" s="7">
        <v>3</v>
      </c>
      <c r="I29" s="7">
        <v>4</v>
      </c>
      <c r="J29" s="6" t="s">
        <v>200</v>
      </c>
      <c r="K29" s="3" t="s">
        <v>27</v>
      </c>
    </row>
    <row r="30" spans="1:11">
      <c r="A30" s="3" t="s">
        <v>25</v>
      </c>
      <c r="B30" s="3" t="s">
        <v>26</v>
      </c>
      <c r="C30" s="3" t="s">
        <v>153</v>
      </c>
      <c r="D30" s="3" t="s">
        <v>126</v>
      </c>
      <c r="E30" s="7">
        <v>3</v>
      </c>
      <c r="F30" s="7">
        <v>4</v>
      </c>
      <c r="G30" s="7">
        <v>3</v>
      </c>
      <c r="H30" s="7">
        <v>4</v>
      </c>
      <c r="I30" s="7">
        <v>4</v>
      </c>
      <c r="J30" s="6"/>
      <c r="K30" s="3" t="s">
        <v>27</v>
      </c>
    </row>
    <row r="31" spans="1:11">
      <c r="A31" s="3" t="s">
        <v>25</v>
      </c>
      <c r="B31" s="3" t="s">
        <v>26</v>
      </c>
      <c r="C31" s="3" t="s">
        <v>156</v>
      </c>
      <c r="D31" s="3" t="s">
        <v>157</v>
      </c>
      <c r="E31" s="7">
        <v>3</v>
      </c>
      <c r="F31" s="7">
        <v>3</v>
      </c>
      <c r="G31" s="7">
        <v>4</v>
      </c>
      <c r="H31" s="7">
        <v>3</v>
      </c>
      <c r="I31" s="7">
        <v>3</v>
      </c>
      <c r="J31" s="6"/>
      <c r="K31" s="3" t="s">
        <v>27</v>
      </c>
    </row>
    <row r="32" spans="1:11">
      <c r="A32" s="3" t="s">
        <v>25</v>
      </c>
      <c r="B32" s="3" t="s">
        <v>26</v>
      </c>
      <c r="C32" s="3" t="s">
        <v>162</v>
      </c>
      <c r="D32" s="3" t="s">
        <v>157</v>
      </c>
      <c r="E32" s="7">
        <v>4</v>
      </c>
      <c r="F32" s="7">
        <v>4</v>
      </c>
      <c r="G32" s="7">
        <v>4</v>
      </c>
      <c r="H32" s="7">
        <v>4</v>
      </c>
      <c r="I32" s="7">
        <v>4</v>
      </c>
      <c r="J32" s="6"/>
      <c r="K32" s="3" t="s">
        <v>27</v>
      </c>
    </row>
    <row r="33" spans="1:11">
      <c r="A33" s="3" t="s">
        <v>25</v>
      </c>
      <c r="B33" s="3" t="s">
        <v>26</v>
      </c>
      <c r="C33" s="3" t="s">
        <v>165</v>
      </c>
      <c r="D33" s="3" t="s">
        <v>157</v>
      </c>
      <c r="E33" s="7">
        <v>4</v>
      </c>
      <c r="F33" s="7">
        <v>3</v>
      </c>
      <c r="G33" s="7">
        <v>4</v>
      </c>
      <c r="H33" s="7">
        <v>3</v>
      </c>
      <c r="I33" s="7">
        <v>4</v>
      </c>
      <c r="J33" s="6"/>
      <c r="K33" s="3" t="s">
        <v>27</v>
      </c>
    </row>
    <row r="34" spans="1:11">
      <c r="A34" s="3" t="s">
        <v>25</v>
      </c>
      <c r="B34" s="3" t="s">
        <v>26</v>
      </c>
      <c r="C34" s="3" t="s">
        <v>168</v>
      </c>
      <c r="D34" s="3" t="s">
        <v>157</v>
      </c>
      <c r="E34" s="7">
        <v>4</v>
      </c>
      <c r="F34" s="7">
        <v>2</v>
      </c>
      <c r="G34" s="7">
        <v>3</v>
      </c>
      <c r="H34" s="7">
        <v>3</v>
      </c>
      <c r="I34" s="7">
        <v>4</v>
      </c>
      <c r="J34" s="6" t="s">
        <v>201</v>
      </c>
      <c r="K34" s="3" t="s">
        <v>27</v>
      </c>
    </row>
    <row r="35" spans="1:11">
      <c r="A35" s="3" t="s">
        <v>25</v>
      </c>
      <c r="B35" s="3" t="s">
        <v>26</v>
      </c>
      <c r="C35" s="3" t="s">
        <v>25</v>
      </c>
      <c r="D35" s="3" t="s">
        <v>171</v>
      </c>
      <c r="E35" s="7">
        <v>4</v>
      </c>
      <c r="F35" s="7">
        <v>3</v>
      </c>
      <c r="G35" s="7">
        <v>4</v>
      </c>
      <c r="H35" s="7">
        <v>4</v>
      </c>
      <c r="I35" s="7">
        <v>4</v>
      </c>
      <c r="J35" s="6"/>
      <c r="K35" s="3" t="s">
        <v>27</v>
      </c>
    </row>
    <row r="36" spans="1:11">
      <c r="A36" s="3" t="s">
        <v>25</v>
      </c>
      <c r="B36" s="3" t="s">
        <v>26</v>
      </c>
      <c r="C36" s="3" t="s">
        <v>31</v>
      </c>
      <c r="D36" s="3" t="s">
        <v>171</v>
      </c>
      <c r="E36" s="7">
        <v>3</v>
      </c>
      <c r="F36" s="7">
        <v>4</v>
      </c>
      <c r="G36" s="7">
        <v>3</v>
      </c>
      <c r="H36" s="7">
        <v>3</v>
      </c>
      <c r="I36" s="7">
        <v>4</v>
      </c>
      <c r="J36" s="6"/>
      <c r="K36" s="3" t="s">
        <v>27</v>
      </c>
    </row>
    <row r="37" spans="1:11">
      <c r="A37" s="3" t="s">
        <v>25</v>
      </c>
      <c r="B37" s="3" t="s">
        <v>26</v>
      </c>
      <c r="C37" s="3" t="s">
        <v>32</v>
      </c>
      <c r="D37" s="3" t="s">
        <v>171</v>
      </c>
      <c r="E37" s="7">
        <v>3</v>
      </c>
      <c r="F37" s="7">
        <v>4</v>
      </c>
      <c r="G37" s="7">
        <v>4</v>
      </c>
      <c r="H37" s="7">
        <v>3</v>
      </c>
      <c r="I37" s="7">
        <v>4</v>
      </c>
      <c r="J37" s="6"/>
      <c r="K37" s="3" t="s">
        <v>27</v>
      </c>
    </row>
    <row r="38" spans="1:11">
      <c r="A38" s="3" t="s">
        <v>25</v>
      </c>
      <c r="B38" s="3" t="s">
        <v>26</v>
      </c>
      <c r="C38" s="3" t="s">
        <v>33</v>
      </c>
      <c r="D38" s="3" t="s">
        <v>171</v>
      </c>
      <c r="E38" s="7">
        <v>4</v>
      </c>
      <c r="F38" s="7">
        <v>4</v>
      </c>
      <c r="G38" s="7">
        <v>4</v>
      </c>
      <c r="H38" s="7">
        <v>4</v>
      </c>
      <c r="I38" s="7">
        <v>3</v>
      </c>
      <c r="J38" s="6" t="s">
        <v>202</v>
      </c>
      <c r="K38" s="3" t="s">
        <v>27</v>
      </c>
    </row>
    <row r="39" spans="1:11">
      <c r="A39" s="3" t="s">
        <v>25</v>
      </c>
      <c r="B39" s="3" t="s">
        <v>26</v>
      </c>
      <c r="C39" s="3" t="s">
        <v>34</v>
      </c>
      <c r="D39" s="3" t="s">
        <v>171</v>
      </c>
      <c r="E39" s="7">
        <v>4</v>
      </c>
      <c r="F39" s="7">
        <v>3</v>
      </c>
      <c r="G39" s="7">
        <v>4</v>
      </c>
      <c r="H39" s="7">
        <v>4</v>
      </c>
      <c r="I39" s="7">
        <v>4</v>
      </c>
      <c r="J39" s="6"/>
      <c r="K39" s="3" t="s">
        <v>27</v>
      </c>
    </row>
    <row r="40" spans="1:11">
      <c r="A40" s="3" t="s">
        <v>25</v>
      </c>
      <c r="B40" s="3" t="s">
        <v>26</v>
      </c>
      <c r="C40" s="3" t="s">
        <v>35</v>
      </c>
      <c r="D40" s="3" t="s">
        <v>171</v>
      </c>
      <c r="E40" s="7">
        <v>4</v>
      </c>
      <c r="F40" s="7">
        <v>4</v>
      </c>
      <c r="G40" s="7">
        <v>3</v>
      </c>
      <c r="H40" s="7">
        <v>3</v>
      </c>
      <c r="I40" s="7">
        <v>3</v>
      </c>
      <c r="J40" s="6"/>
      <c r="K40" s="3" t="s">
        <v>27</v>
      </c>
    </row>
    <row r="41" spans="1:11">
      <c r="A41" s="3" t="s">
        <v>25</v>
      </c>
      <c r="B41" s="3" t="s">
        <v>26</v>
      </c>
      <c r="C41" s="3" t="s">
        <v>186</v>
      </c>
      <c r="D41" s="3" t="s">
        <v>171</v>
      </c>
      <c r="E41" s="7">
        <v>4</v>
      </c>
      <c r="F41" s="7">
        <v>3</v>
      </c>
      <c r="G41" s="7">
        <v>3</v>
      </c>
      <c r="H41" s="7">
        <v>3</v>
      </c>
      <c r="I41" s="7">
        <v>4</v>
      </c>
      <c r="J41" s="6"/>
      <c r="K41" s="3" t="s">
        <v>27</v>
      </c>
    </row>
    <row r="42" spans="1:11">
      <c r="A42" s="3" t="s">
        <v>25</v>
      </c>
      <c r="B42" s="3" t="s">
        <v>26</v>
      </c>
      <c r="C42" s="3" t="s">
        <v>189</v>
      </c>
      <c r="D42" s="3" t="s">
        <v>171</v>
      </c>
      <c r="E42" s="7">
        <v>3</v>
      </c>
      <c r="F42" s="7">
        <v>4</v>
      </c>
      <c r="G42" s="7">
        <v>4</v>
      </c>
      <c r="H42" s="7">
        <v>3</v>
      </c>
      <c r="I42" s="7">
        <v>4</v>
      </c>
      <c r="J42" s="6"/>
      <c r="K42" s="3" t="s">
        <v>27</v>
      </c>
    </row>
    <row r="43" spans="1:11">
      <c r="A43" s="3" t="s">
        <v>25</v>
      </c>
      <c r="B43" s="3" t="s">
        <v>26</v>
      </c>
      <c r="C43" s="3" t="s">
        <v>192</v>
      </c>
      <c r="D43" s="3" t="s">
        <v>171</v>
      </c>
      <c r="E43" s="7">
        <v>4</v>
      </c>
      <c r="F43" s="7">
        <v>4</v>
      </c>
      <c r="G43" s="7">
        <v>3</v>
      </c>
      <c r="H43" s="7">
        <v>3</v>
      </c>
      <c r="I43" s="7">
        <v>4</v>
      </c>
      <c r="J43" s="6"/>
      <c r="K43" s="3" t="s">
        <v>27</v>
      </c>
    </row>
    <row r="44" spans="1:11">
      <c r="A44" s="3" t="s">
        <v>31</v>
      </c>
      <c r="B44" s="3" t="s">
        <v>26</v>
      </c>
      <c r="C44" s="3" t="s">
        <v>54</v>
      </c>
      <c r="D44" s="3" t="s">
        <v>55</v>
      </c>
      <c r="E44" s="7">
        <v>4</v>
      </c>
      <c r="F44" s="7">
        <v>4</v>
      </c>
      <c r="G44" s="7">
        <v>4</v>
      </c>
      <c r="H44" s="7">
        <v>4</v>
      </c>
      <c r="I44" s="7">
        <v>4</v>
      </c>
      <c r="J44" s="6"/>
      <c r="K44" s="3" t="s">
        <v>27</v>
      </c>
    </row>
    <row r="45" spans="1:11">
      <c r="A45" s="3" t="s">
        <v>31</v>
      </c>
      <c r="B45" s="3" t="s">
        <v>26</v>
      </c>
      <c r="C45" s="3" t="s">
        <v>64</v>
      </c>
      <c r="D45" s="3" t="s">
        <v>55</v>
      </c>
      <c r="E45" s="7">
        <v>4</v>
      </c>
      <c r="F45" s="7">
        <v>4</v>
      </c>
      <c r="G45" s="7">
        <v>4</v>
      </c>
      <c r="H45" s="7">
        <v>4</v>
      </c>
      <c r="I45" s="7">
        <v>3</v>
      </c>
      <c r="J45" s="6"/>
      <c r="K45" s="3" t="s">
        <v>27</v>
      </c>
    </row>
    <row r="46" spans="1:11">
      <c r="A46" s="3" t="s">
        <v>31</v>
      </c>
      <c r="B46" s="3" t="s">
        <v>26</v>
      </c>
      <c r="C46" s="3" t="s">
        <v>67</v>
      </c>
      <c r="D46" s="3" t="s">
        <v>55</v>
      </c>
      <c r="E46" s="7">
        <v>4</v>
      </c>
      <c r="F46" s="7">
        <v>4</v>
      </c>
      <c r="G46" s="7">
        <v>4</v>
      </c>
      <c r="H46" s="7">
        <v>4</v>
      </c>
      <c r="I46" s="7">
        <v>4</v>
      </c>
      <c r="J46" s="6"/>
      <c r="K46" s="3" t="s">
        <v>27</v>
      </c>
    </row>
    <row r="47" spans="1:11">
      <c r="A47" s="3" t="s">
        <v>31</v>
      </c>
      <c r="B47" s="3" t="s">
        <v>26</v>
      </c>
      <c r="C47" s="3" t="s">
        <v>70</v>
      </c>
      <c r="D47" s="3" t="s">
        <v>55</v>
      </c>
      <c r="E47" s="7">
        <v>3</v>
      </c>
      <c r="F47" s="7">
        <v>4</v>
      </c>
      <c r="G47" s="7">
        <v>4</v>
      </c>
      <c r="H47" s="7">
        <v>4</v>
      </c>
      <c r="I47" s="7">
        <v>4</v>
      </c>
      <c r="J47" s="6"/>
      <c r="K47" s="3" t="s">
        <v>27</v>
      </c>
    </row>
    <row r="48" spans="1:11">
      <c r="A48" s="3" t="s">
        <v>31</v>
      </c>
      <c r="B48" s="3" t="s">
        <v>26</v>
      </c>
      <c r="C48" s="3" t="s">
        <v>74</v>
      </c>
      <c r="D48" s="3" t="s">
        <v>55</v>
      </c>
      <c r="E48" s="7">
        <v>4</v>
      </c>
      <c r="F48" s="7">
        <v>4</v>
      </c>
      <c r="G48" s="7">
        <v>4</v>
      </c>
      <c r="H48" s="7">
        <v>4</v>
      </c>
      <c r="I48" s="7">
        <v>3</v>
      </c>
      <c r="J48" s="6"/>
      <c r="K48" s="3" t="s">
        <v>27</v>
      </c>
    </row>
    <row r="49" spans="1:11">
      <c r="A49" s="3" t="s">
        <v>31</v>
      </c>
      <c r="B49" s="3" t="s">
        <v>26</v>
      </c>
      <c r="C49" s="3" t="s">
        <v>77</v>
      </c>
      <c r="D49" s="3" t="s">
        <v>55</v>
      </c>
      <c r="E49" s="7">
        <v>4</v>
      </c>
      <c r="F49" s="7">
        <v>3</v>
      </c>
      <c r="G49" s="7">
        <v>4</v>
      </c>
      <c r="H49" s="7">
        <v>4</v>
      </c>
      <c r="I49" s="7">
        <v>3</v>
      </c>
      <c r="J49" s="6"/>
      <c r="K49" s="3" t="s">
        <v>27</v>
      </c>
    </row>
    <row r="50" spans="1:11">
      <c r="A50" s="3" t="s">
        <v>31</v>
      </c>
      <c r="B50" s="3" t="s">
        <v>26</v>
      </c>
      <c r="C50" s="3" t="s">
        <v>80</v>
      </c>
      <c r="D50" s="3" t="s">
        <v>55</v>
      </c>
      <c r="E50" s="7">
        <v>4</v>
      </c>
      <c r="F50" s="7">
        <v>4</v>
      </c>
      <c r="G50" s="7">
        <v>4</v>
      </c>
      <c r="H50" s="7">
        <v>3</v>
      </c>
      <c r="I50" s="7">
        <v>3</v>
      </c>
      <c r="J50" s="6"/>
      <c r="K50" s="3" t="s">
        <v>27</v>
      </c>
    </row>
    <row r="51" ht="28.8" spans="1:11">
      <c r="A51" s="3" t="s">
        <v>31</v>
      </c>
      <c r="B51" s="3" t="s">
        <v>26</v>
      </c>
      <c r="C51" s="3" t="s">
        <v>83</v>
      </c>
      <c r="D51" s="3" t="s">
        <v>55</v>
      </c>
      <c r="E51" s="7">
        <v>4</v>
      </c>
      <c r="F51" s="7">
        <v>4</v>
      </c>
      <c r="G51" s="7">
        <v>3</v>
      </c>
      <c r="H51" s="7">
        <v>2</v>
      </c>
      <c r="I51" s="7">
        <v>4</v>
      </c>
      <c r="J51" s="6" t="s">
        <v>203</v>
      </c>
      <c r="K51" s="3" t="s">
        <v>27</v>
      </c>
    </row>
    <row r="52" spans="1:11">
      <c r="A52" s="3" t="s">
        <v>31</v>
      </c>
      <c r="B52" s="3" t="s">
        <v>26</v>
      </c>
      <c r="C52" s="3" t="s">
        <v>87</v>
      </c>
      <c r="D52" s="3" t="s">
        <v>55</v>
      </c>
      <c r="E52" s="7">
        <v>4</v>
      </c>
      <c r="F52" s="7">
        <v>4</v>
      </c>
      <c r="G52" s="7">
        <v>4</v>
      </c>
      <c r="H52" s="7">
        <v>4</v>
      </c>
      <c r="I52" s="7">
        <v>4</v>
      </c>
      <c r="J52" s="6"/>
      <c r="K52" s="3" t="s">
        <v>27</v>
      </c>
    </row>
    <row r="53" spans="1:11">
      <c r="A53" s="3" t="s">
        <v>31</v>
      </c>
      <c r="B53" s="3" t="s">
        <v>26</v>
      </c>
      <c r="C53" s="3" t="s">
        <v>91</v>
      </c>
      <c r="D53" s="3" t="s">
        <v>55</v>
      </c>
      <c r="E53" s="7">
        <v>4</v>
      </c>
      <c r="F53" s="7">
        <v>4</v>
      </c>
      <c r="G53" s="7">
        <v>4</v>
      </c>
      <c r="H53" s="7">
        <v>4</v>
      </c>
      <c r="I53" s="7">
        <v>3</v>
      </c>
      <c r="J53" s="6"/>
      <c r="K53" s="3" t="s">
        <v>27</v>
      </c>
    </row>
    <row r="54" spans="1:11">
      <c r="A54" s="3" t="s">
        <v>31</v>
      </c>
      <c r="B54" s="3" t="s">
        <v>26</v>
      </c>
      <c r="C54" s="3" t="s">
        <v>94</v>
      </c>
      <c r="D54" s="3" t="s">
        <v>55</v>
      </c>
      <c r="E54" s="7">
        <v>4</v>
      </c>
      <c r="F54" s="7">
        <v>3</v>
      </c>
      <c r="G54" s="7">
        <v>4</v>
      </c>
      <c r="H54" s="7">
        <v>4</v>
      </c>
      <c r="I54" s="7">
        <v>3</v>
      </c>
      <c r="J54" s="6"/>
      <c r="K54" s="3" t="s">
        <v>27</v>
      </c>
    </row>
    <row r="55" spans="1:11">
      <c r="A55" s="3" t="s">
        <v>31</v>
      </c>
      <c r="B55" s="3" t="s">
        <v>26</v>
      </c>
      <c r="C55" s="3" t="s">
        <v>97</v>
      </c>
      <c r="D55" s="3" t="s">
        <v>55</v>
      </c>
      <c r="E55" s="7">
        <v>3</v>
      </c>
      <c r="F55" s="7">
        <v>4</v>
      </c>
      <c r="G55" s="7">
        <v>4</v>
      </c>
      <c r="H55" s="7">
        <v>2</v>
      </c>
      <c r="I55" s="7">
        <v>3</v>
      </c>
      <c r="J55" s="6"/>
      <c r="K55" s="3" t="s">
        <v>27</v>
      </c>
    </row>
    <row r="56" spans="1:11">
      <c r="A56" s="3" t="s">
        <v>31</v>
      </c>
      <c r="B56" s="3" t="s">
        <v>26</v>
      </c>
      <c r="C56" s="3" t="s">
        <v>100</v>
      </c>
      <c r="D56" s="3" t="s">
        <v>55</v>
      </c>
      <c r="E56" s="7">
        <v>4</v>
      </c>
      <c r="F56" s="7">
        <v>3</v>
      </c>
      <c r="G56" s="7">
        <v>3</v>
      </c>
      <c r="H56" s="7">
        <v>3</v>
      </c>
      <c r="I56" s="7">
        <v>4</v>
      </c>
      <c r="J56" s="6"/>
      <c r="K56" s="3" t="s">
        <v>27</v>
      </c>
    </row>
    <row r="57" spans="1:11">
      <c r="A57" s="3" t="s">
        <v>31</v>
      </c>
      <c r="B57" s="3" t="s">
        <v>26</v>
      </c>
      <c r="C57" s="3" t="s">
        <v>103</v>
      </c>
      <c r="D57" s="3" t="s">
        <v>55</v>
      </c>
      <c r="E57" s="7">
        <v>4</v>
      </c>
      <c r="F57" s="7">
        <v>3</v>
      </c>
      <c r="G57" s="7">
        <v>3</v>
      </c>
      <c r="H57" s="7">
        <v>3</v>
      </c>
      <c r="I57" s="7">
        <v>4</v>
      </c>
      <c r="J57" s="6"/>
      <c r="K57" s="3" t="s">
        <v>27</v>
      </c>
    </row>
    <row r="58" spans="1:11">
      <c r="A58" s="3" t="s">
        <v>31</v>
      </c>
      <c r="B58" s="3" t="s">
        <v>26</v>
      </c>
      <c r="C58" s="3" t="s">
        <v>106</v>
      </c>
      <c r="D58" s="3" t="s">
        <v>55</v>
      </c>
      <c r="E58" s="7">
        <v>4</v>
      </c>
      <c r="F58" s="7">
        <v>4</v>
      </c>
      <c r="G58" s="7">
        <v>4</v>
      </c>
      <c r="H58" s="7">
        <v>4</v>
      </c>
      <c r="I58" s="7">
        <v>4</v>
      </c>
      <c r="J58" s="6"/>
      <c r="K58" s="3" t="s">
        <v>27</v>
      </c>
    </row>
    <row r="59" spans="1:11">
      <c r="A59" s="3" t="s">
        <v>31</v>
      </c>
      <c r="B59" s="3" t="s">
        <v>26</v>
      </c>
      <c r="C59" s="3" t="s">
        <v>109</v>
      </c>
      <c r="D59" s="3" t="s">
        <v>55</v>
      </c>
      <c r="E59" s="7">
        <v>4</v>
      </c>
      <c r="F59" s="7">
        <v>3</v>
      </c>
      <c r="G59" s="7">
        <v>4</v>
      </c>
      <c r="H59" s="7">
        <v>4</v>
      </c>
      <c r="I59" s="7">
        <v>3</v>
      </c>
      <c r="J59" s="6"/>
      <c r="K59" s="3" t="s">
        <v>27</v>
      </c>
    </row>
    <row r="60" spans="1:11">
      <c r="A60" s="3" t="s">
        <v>31</v>
      </c>
      <c r="B60" s="3" t="s">
        <v>26</v>
      </c>
      <c r="C60" s="3" t="s">
        <v>113</v>
      </c>
      <c r="D60" s="3" t="s">
        <v>55</v>
      </c>
      <c r="E60" s="7">
        <v>4</v>
      </c>
      <c r="F60" s="7">
        <v>4</v>
      </c>
      <c r="G60" s="7">
        <v>3</v>
      </c>
      <c r="H60" s="7">
        <v>2</v>
      </c>
      <c r="I60" s="7">
        <v>4</v>
      </c>
      <c r="J60" s="6" t="s">
        <v>204</v>
      </c>
      <c r="K60" s="3" t="s">
        <v>27</v>
      </c>
    </row>
    <row r="61" spans="1:11">
      <c r="A61" s="3" t="s">
        <v>31</v>
      </c>
      <c r="B61" s="3" t="s">
        <v>26</v>
      </c>
      <c r="C61" s="3" t="s">
        <v>116</v>
      </c>
      <c r="D61" s="3" t="s">
        <v>55</v>
      </c>
      <c r="E61" s="7">
        <v>4</v>
      </c>
      <c r="F61" s="7">
        <v>4</v>
      </c>
      <c r="G61" s="7">
        <v>4</v>
      </c>
      <c r="H61" s="7">
        <v>4</v>
      </c>
      <c r="I61" s="7">
        <v>4</v>
      </c>
      <c r="J61" s="6"/>
      <c r="K61" s="3" t="s">
        <v>27</v>
      </c>
    </row>
    <row r="62" spans="1:11">
      <c r="A62" s="3" t="s">
        <v>31</v>
      </c>
      <c r="B62" s="3" t="s">
        <v>26</v>
      </c>
      <c r="C62" s="3" t="s">
        <v>119</v>
      </c>
      <c r="D62" s="3" t="s">
        <v>55</v>
      </c>
      <c r="E62" s="7">
        <v>4</v>
      </c>
      <c r="F62" s="7">
        <v>4</v>
      </c>
      <c r="G62" s="7">
        <v>3</v>
      </c>
      <c r="H62" s="7">
        <v>3</v>
      </c>
      <c r="I62" s="7">
        <v>4</v>
      </c>
      <c r="J62" s="6" t="s">
        <v>205</v>
      </c>
      <c r="K62" s="3" t="s">
        <v>27</v>
      </c>
    </row>
    <row r="63" spans="1:11">
      <c r="A63" s="3" t="s">
        <v>31</v>
      </c>
      <c r="B63" s="3" t="s">
        <v>26</v>
      </c>
      <c r="C63" s="3" t="s">
        <v>122</v>
      </c>
      <c r="D63" s="3" t="s">
        <v>55</v>
      </c>
      <c r="E63" s="7">
        <v>3</v>
      </c>
      <c r="F63" s="7">
        <v>4</v>
      </c>
      <c r="G63" s="7">
        <v>3</v>
      </c>
      <c r="H63" s="7">
        <v>4</v>
      </c>
      <c r="I63" s="7">
        <v>4</v>
      </c>
      <c r="J63" s="6"/>
      <c r="K63" s="3" t="s">
        <v>27</v>
      </c>
    </row>
    <row r="64" spans="1:11">
      <c r="A64" s="3" t="s">
        <v>31</v>
      </c>
      <c r="B64" s="3" t="s">
        <v>26</v>
      </c>
      <c r="C64" s="3" t="s">
        <v>125</v>
      </c>
      <c r="D64" s="3" t="s">
        <v>126</v>
      </c>
      <c r="E64" s="7">
        <v>4</v>
      </c>
      <c r="F64" s="7">
        <v>4</v>
      </c>
      <c r="G64" s="7">
        <v>3</v>
      </c>
      <c r="H64" s="7">
        <v>4</v>
      </c>
      <c r="I64" s="7">
        <v>4</v>
      </c>
      <c r="J64" s="6"/>
      <c r="K64" s="3" t="s">
        <v>27</v>
      </c>
    </row>
    <row r="65" spans="1:11">
      <c r="A65" s="3" t="s">
        <v>31</v>
      </c>
      <c r="B65" s="3" t="s">
        <v>26</v>
      </c>
      <c r="C65" s="3" t="s">
        <v>132</v>
      </c>
      <c r="D65" s="3" t="s">
        <v>126</v>
      </c>
      <c r="E65" s="7">
        <v>4</v>
      </c>
      <c r="F65" s="7">
        <v>4</v>
      </c>
      <c r="G65" s="7">
        <v>4</v>
      </c>
      <c r="H65" s="7">
        <v>4</v>
      </c>
      <c r="I65" s="7">
        <v>4</v>
      </c>
      <c r="J65" s="6"/>
      <c r="K65" s="3" t="s">
        <v>27</v>
      </c>
    </row>
    <row r="66" spans="1:11">
      <c r="A66" s="3" t="s">
        <v>31</v>
      </c>
      <c r="B66" s="3" t="s">
        <v>26</v>
      </c>
      <c r="C66" s="3" t="s">
        <v>135</v>
      </c>
      <c r="D66" s="3" t="s">
        <v>126</v>
      </c>
      <c r="E66" s="7">
        <v>4</v>
      </c>
      <c r="F66" s="7">
        <v>4</v>
      </c>
      <c r="G66" s="7">
        <v>4</v>
      </c>
      <c r="H66" s="7">
        <v>4</v>
      </c>
      <c r="I66" s="7">
        <v>3</v>
      </c>
      <c r="J66" s="6"/>
      <c r="K66" s="3" t="s">
        <v>27</v>
      </c>
    </row>
    <row r="67" spans="1:11">
      <c r="A67" s="3" t="s">
        <v>31</v>
      </c>
      <c r="B67" s="3" t="s">
        <v>26</v>
      </c>
      <c r="C67" s="3" t="s">
        <v>138</v>
      </c>
      <c r="D67" s="3" t="s">
        <v>126</v>
      </c>
      <c r="E67" s="7">
        <v>4</v>
      </c>
      <c r="F67" s="7">
        <v>4</v>
      </c>
      <c r="G67" s="7">
        <v>4</v>
      </c>
      <c r="H67" s="7">
        <v>4</v>
      </c>
      <c r="I67" s="7">
        <v>4</v>
      </c>
      <c r="J67" s="6"/>
      <c r="K67" s="3" t="s">
        <v>27</v>
      </c>
    </row>
    <row r="68" spans="1:11">
      <c r="A68" s="3" t="s">
        <v>31</v>
      </c>
      <c r="B68" s="3" t="s">
        <v>26</v>
      </c>
      <c r="C68" s="3" t="s">
        <v>141</v>
      </c>
      <c r="D68" s="3" t="s">
        <v>126</v>
      </c>
      <c r="E68" s="7">
        <v>3</v>
      </c>
      <c r="F68" s="7">
        <v>3</v>
      </c>
      <c r="G68" s="7">
        <v>4</v>
      </c>
      <c r="H68" s="7">
        <v>3</v>
      </c>
      <c r="I68" s="7">
        <v>4</v>
      </c>
      <c r="J68" s="6"/>
      <c r="K68" s="3" t="s">
        <v>27</v>
      </c>
    </row>
    <row r="69" spans="1:11">
      <c r="A69" s="3" t="s">
        <v>31</v>
      </c>
      <c r="B69" s="3" t="s">
        <v>26</v>
      </c>
      <c r="C69" s="3" t="s">
        <v>144</v>
      </c>
      <c r="D69" s="3" t="s">
        <v>126</v>
      </c>
      <c r="E69" s="7">
        <v>4</v>
      </c>
      <c r="F69" s="7">
        <v>4</v>
      </c>
      <c r="G69" s="7">
        <v>4</v>
      </c>
      <c r="H69" s="7">
        <v>3</v>
      </c>
      <c r="I69" s="7">
        <v>4</v>
      </c>
      <c r="J69" s="6"/>
      <c r="K69" s="3" t="s">
        <v>27</v>
      </c>
    </row>
    <row r="70" spans="1:11">
      <c r="A70" s="3" t="s">
        <v>31</v>
      </c>
      <c r="B70" s="3" t="s">
        <v>26</v>
      </c>
      <c r="C70" s="3" t="s">
        <v>147</v>
      </c>
      <c r="D70" s="3" t="s">
        <v>126</v>
      </c>
      <c r="E70" s="7">
        <v>3</v>
      </c>
      <c r="F70" s="7">
        <v>3</v>
      </c>
      <c r="G70" s="7">
        <v>4</v>
      </c>
      <c r="H70" s="7">
        <v>3</v>
      </c>
      <c r="I70" s="7">
        <v>3</v>
      </c>
      <c r="J70" s="6" t="s">
        <v>206</v>
      </c>
      <c r="K70" s="3" t="s">
        <v>27</v>
      </c>
    </row>
    <row r="71" spans="1:11">
      <c r="A71" s="3" t="s">
        <v>31</v>
      </c>
      <c r="B71" s="3" t="s">
        <v>26</v>
      </c>
      <c r="C71" s="3" t="s">
        <v>150</v>
      </c>
      <c r="D71" s="3" t="s">
        <v>126</v>
      </c>
      <c r="E71" s="7">
        <v>3</v>
      </c>
      <c r="F71" s="7">
        <v>4</v>
      </c>
      <c r="G71" s="7">
        <v>4</v>
      </c>
      <c r="H71" s="7">
        <v>3</v>
      </c>
      <c r="I71" s="7">
        <v>3</v>
      </c>
      <c r="J71" s="6"/>
      <c r="K71" s="3" t="s">
        <v>27</v>
      </c>
    </row>
    <row r="72" spans="1:11">
      <c r="A72" s="3" t="s">
        <v>31</v>
      </c>
      <c r="B72" s="3" t="s">
        <v>26</v>
      </c>
      <c r="C72" s="3" t="s">
        <v>153</v>
      </c>
      <c r="D72" s="3" t="s">
        <v>126</v>
      </c>
      <c r="E72" s="7">
        <v>4</v>
      </c>
      <c r="F72" s="7">
        <v>4</v>
      </c>
      <c r="G72" s="7">
        <v>3</v>
      </c>
      <c r="H72" s="7">
        <v>4</v>
      </c>
      <c r="I72" s="7">
        <v>4</v>
      </c>
      <c r="J72" s="6"/>
      <c r="K72" s="3" t="s">
        <v>27</v>
      </c>
    </row>
    <row r="73" spans="1:11">
      <c r="A73" s="3" t="s">
        <v>31</v>
      </c>
      <c r="B73" s="3" t="s">
        <v>26</v>
      </c>
      <c r="C73" s="3" t="s">
        <v>156</v>
      </c>
      <c r="D73" s="3" t="s">
        <v>157</v>
      </c>
      <c r="E73" s="7">
        <v>4</v>
      </c>
      <c r="F73" s="7">
        <v>4</v>
      </c>
      <c r="G73" s="7">
        <v>4</v>
      </c>
      <c r="H73" s="7">
        <v>3</v>
      </c>
      <c r="I73" s="7">
        <v>4</v>
      </c>
      <c r="J73" s="6"/>
      <c r="K73" s="3" t="s">
        <v>27</v>
      </c>
    </row>
    <row r="74" spans="1:11">
      <c r="A74" s="3" t="s">
        <v>31</v>
      </c>
      <c r="B74" s="3" t="s">
        <v>26</v>
      </c>
      <c r="C74" s="3" t="s">
        <v>162</v>
      </c>
      <c r="D74" s="3" t="s">
        <v>157</v>
      </c>
      <c r="E74" s="7">
        <v>4</v>
      </c>
      <c r="F74" s="7">
        <v>4</v>
      </c>
      <c r="G74" s="7">
        <v>4</v>
      </c>
      <c r="H74" s="7">
        <v>4</v>
      </c>
      <c r="I74" s="7">
        <v>4</v>
      </c>
      <c r="J74" s="6"/>
      <c r="K74" s="3" t="s">
        <v>27</v>
      </c>
    </row>
    <row r="75" spans="1:11">
      <c r="A75" s="3" t="s">
        <v>31</v>
      </c>
      <c r="B75" s="3" t="s">
        <v>26</v>
      </c>
      <c r="C75" s="3" t="s">
        <v>165</v>
      </c>
      <c r="D75" s="3" t="s">
        <v>157</v>
      </c>
      <c r="E75" s="7">
        <v>4</v>
      </c>
      <c r="F75" s="7">
        <v>4</v>
      </c>
      <c r="G75" s="7">
        <v>3</v>
      </c>
      <c r="H75" s="7">
        <v>2</v>
      </c>
      <c r="I75" s="7">
        <v>3</v>
      </c>
      <c r="J75" s="6"/>
      <c r="K75" s="3" t="s">
        <v>27</v>
      </c>
    </row>
    <row r="76" spans="1:11">
      <c r="A76" s="3" t="s">
        <v>31</v>
      </c>
      <c r="B76" s="3" t="s">
        <v>26</v>
      </c>
      <c r="C76" s="3" t="s">
        <v>168</v>
      </c>
      <c r="D76" s="3" t="s">
        <v>157</v>
      </c>
      <c r="E76" s="7">
        <v>4</v>
      </c>
      <c r="F76" s="7">
        <v>4</v>
      </c>
      <c r="G76" s="7">
        <v>3</v>
      </c>
      <c r="H76" s="7">
        <v>3</v>
      </c>
      <c r="I76" s="7">
        <v>4</v>
      </c>
      <c r="J76" s="6"/>
      <c r="K76" s="3" t="s">
        <v>27</v>
      </c>
    </row>
    <row r="77" spans="1:11">
      <c r="A77" s="3" t="s">
        <v>31</v>
      </c>
      <c r="B77" s="3" t="s">
        <v>26</v>
      </c>
      <c r="C77" s="3" t="s">
        <v>25</v>
      </c>
      <c r="D77" s="3" t="s">
        <v>171</v>
      </c>
      <c r="E77" s="7">
        <v>4</v>
      </c>
      <c r="F77" s="7">
        <v>4</v>
      </c>
      <c r="G77" s="7">
        <v>4</v>
      </c>
      <c r="H77" s="7">
        <v>4</v>
      </c>
      <c r="I77" s="7">
        <v>3</v>
      </c>
      <c r="J77" s="6"/>
      <c r="K77" s="3" t="s">
        <v>27</v>
      </c>
    </row>
    <row r="78" spans="1:11">
      <c r="A78" s="3" t="s">
        <v>31</v>
      </c>
      <c r="B78" s="3" t="s">
        <v>26</v>
      </c>
      <c r="C78" s="3" t="s">
        <v>31</v>
      </c>
      <c r="D78" s="3" t="s">
        <v>171</v>
      </c>
      <c r="E78" s="7">
        <v>3</v>
      </c>
      <c r="F78" s="7">
        <v>4</v>
      </c>
      <c r="G78" s="7">
        <v>4</v>
      </c>
      <c r="H78" s="7">
        <v>4</v>
      </c>
      <c r="I78" s="7">
        <v>4</v>
      </c>
      <c r="J78" s="6"/>
      <c r="K78" s="3" t="s">
        <v>27</v>
      </c>
    </row>
    <row r="79" spans="1:11">
      <c r="A79" s="3" t="s">
        <v>31</v>
      </c>
      <c r="B79" s="3" t="s">
        <v>26</v>
      </c>
      <c r="C79" s="3" t="s">
        <v>32</v>
      </c>
      <c r="D79" s="3" t="s">
        <v>171</v>
      </c>
      <c r="E79" s="7">
        <v>4</v>
      </c>
      <c r="F79" s="7">
        <v>4</v>
      </c>
      <c r="G79" s="7">
        <v>3</v>
      </c>
      <c r="H79" s="7">
        <v>3</v>
      </c>
      <c r="I79" s="7">
        <v>3</v>
      </c>
      <c r="J79" s="6"/>
      <c r="K79" s="3" t="s">
        <v>27</v>
      </c>
    </row>
    <row r="80" spans="1:11">
      <c r="A80" s="3" t="s">
        <v>31</v>
      </c>
      <c r="B80" s="3" t="s">
        <v>26</v>
      </c>
      <c r="C80" s="3" t="s">
        <v>33</v>
      </c>
      <c r="D80" s="3" t="s">
        <v>171</v>
      </c>
      <c r="E80" s="7">
        <v>4</v>
      </c>
      <c r="F80" s="7">
        <v>4</v>
      </c>
      <c r="G80" s="7">
        <v>4</v>
      </c>
      <c r="H80" s="7">
        <v>4</v>
      </c>
      <c r="I80" s="7">
        <v>3</v>
      </c>
      <c r="J80" s="6"/>
      <c r="K80" s="3" t="s">
        <v>27</v>
      </c>
    </row>
    <row r="81" spans="1:11">
      <c r="A81" s="3" t="s">
        <v>31</v>
      </c>
      <c r="B81" s="3" t="s">
        <v>26</v>
      </c>
      <c r="C81" s="3" t="s">
        <v>34</v>
      </c>
      <c r="D81" s="3" t="s">
        <v>171</v>
      </c>
      <c r="E81" s="7">
        <v>4</v>
      </c>
      <c r="F81" s="7">
        <v>4</v>
      </c>
      <c r="G81" s="7">
        <v>4</v>
      </c>
      <c r="H81" s="7">
        <v>4</v>
      </c>
      <c r="I81" s="7">
        <v>3</v>
      </c>
      <c r="J81" s="6"/>
      <c r="K81" s="3" t="s">
        <v>27</v>
      </c>
    </row>
    <row r="82" spans="1:11">
      <c r="A82" s="3" t="s">
        <v>31</v>
      </c>
      <c r="B82" s="3" t="s">
        <v>26</v>
      </c>
      <c r="C82" s="3" t="s">
        <v>35</v>
      </c>
      <c r="D82" s="3" t="s">
        <v>171</v>
      </c>
      <c r="E82" s="7">
        <v>3</v>
      </c>
      <c r="F82" s="7">
        <v>4</v>
      </c>
      <c r="G82" s="7">
        <v>3</v>
      </c>
      <c r="H82" s="7">
        <v>3</v>
      </c>
      <c r="I82" s="7">
        <v>4</v>
      </c>
      <c r="J82" s="6"/>
      <c r="K82" s="3" t="s">
        <v>27</v>
      </c>
    </row>
    <row r="83" spans="1:11">
      <c r="A83" s="3" t="s">
        <v>31</v>
      </c>
      <c r="B83" s="3" t="s">
        <v>26</v>
      </c>
      <c r="C83" s="3" t="s">
        <v>186</v>
      </c>
      <c r="D83" s="3" t="s">
        <v>171</v>
      </c>
      <c r="E83" s="7">
        <v>3</v>
      </c>
      <c r="F83" s="7">
        <v>4</v>
      </c>
      <c r="G83" s="7">
        <v>4</v>
      </c>
      <c r="H83" s="7">
        <v>3</v>
      </c>
      <c r="I83" s="7">
        <v>4</v>
      </c>
      <c r="J83" s="6" t="s">
        <v>207</v>
      </c>
      <c r="K83" s="3" t="s">
        <v>27</v>
      </c>
    </row>
    <row r="84" spans="1:11">
      <c r="A84" s="3" t="s">
        <v>31</v>
      </c>
      <c r="B84" s="3" t="s">
        <v>26</v>
      </c>
      <c r="C84" s="3" t="s">
        <v>189</v>
      </c>
      <c r="D84" s="3" t="s">
        <v>171</v>
      </c>
      <c r="E84" s="7">
        <v>3</v>
      </c>
      <c r="F84" s="7">
        <v>4</v>
      </c>
      <c r="G84" s="7">
        <v>4</v>
      </c>
      <c r="H84" s="7">
        <v>3</v>
      </c>
      <c r="I84" s="7">
        <v>4</v>
      </c>
      <c r="J84" s="6"/>
      <c r="K84" s="3" t="s">
        <v>27</v>
      </c>
    </row>
    <row r="85" spans="1:11">
      <c r="A85" s="3" t="s">
        <v>31</v>
      </c>
      <c r="B85" s="3" t="s">
        <v>26</v>
      </c>
      <c r="C85" s="3" t="s">
        <v>192</v>
      </c>
      <c r="D85" s="3" t="s">
        <v>171</v>
      </c>
      <c r="E85" s="7">
        <v>3</v>
      </c>
      <c r="F85" s="7">
        <v>4</v>
      </c>
      <c r="G85" s="7">
        <v>4</v>
      </c>
      <c r="H85" s="7">
        <v>3</v>
      </c>
      <c r="I85" s="7">
        <v>3</v>
      </c>
      <c r="J85" s="6"/>
      <c r="K85" s="3" t="s">
        <v>27</v>
      </c>
    </row>
    <row r="86" spans="1:11">
      <c r="A86" s="3" t="s">
        <v>32</v>
      </c>
      <c r="B86" s="3" t="s">
        <v>26</v>
      </c>
      <c r="C86" s="3" t="s">
        <v>54</v>
      </c>
      <c r="D86" s="3" t="s">
        <v>55</v>
      </c>
      <c r="E86" s="7">
        <v>4</v>
      </c>
      <c r="F86" s="7">
        <v>4</v>
      </c>
      <c r="G86" s="7">
        <v>4</v>
      </c>
      <c r="H86" s="7">
        <v>4</v>
      </c>
      <c r="I86" s="7">
        <v>3</v>
      </c>
      <c r="J86" s="6"/>
      <c r="K86" s="3" t="s">
        <v>27</v>
      </c>
    </row>
    <row r="87" spans="1:11">
      <c r="A87" s="3" t="s">
        <v>32</v>
      </c>
      <c r="B87" s="3" t="s">
        <v>26</v>
      </c>
      <c r="C87" s="3" t="s">
        <v>64</v>
      </c>
      <c r="D87" s="3" t="s">
        <v>55</v>
      </c>
      <c r="E87" s="7">
        <v>4</v>
      </c>
      <c r="F87" s="7">
        <v>3</v>
      </c>
      <c r="G87" s="7">
        <v>4</v>
      </c>
      <c r="H87" s="7">
        <v>4</v>
      </c>
      <c r="I87" s="7">
        <v>4</v>
      </c>
      <c r="J87" s="6"/>
      <c r="K87" s="3" t="s">
        <v>27</v>
      </c>
    </row>
    <row r="88" spans="1:11">
      <c r="A88" s="3" t="s">
        <v>32</v>
      </c>
      <c r="B88" s="3" t="s">
        <v>26</v>
      </c>
      <c r="C88" s="3" t="s">
        <v>67</v>
      </c>
      <c r="D88" s="3" t="s">
        <v>55</v>
      </c>
      <c r="E88" s="7">
        <v>3</v>
      </c>
      <c r="F88" s="7">
        <v>4</v>
      </c>
      <c r="G88" s="7">
        <v>3</v>
      </c>
      <c r="H88" s="7">
        <v>3</v>
      </c>
      <c r="I88" s="7">
        <v>4</v>
      </c>
      <c r="J88" s="6"/>
      <c r="K88" s="3" t="s">
        <v>27</v>
      </c>
    </row>
    <row r="89" spans="1:11">
      <c r="A89" s="3" t="s">
        <v>32</v>
      </c>
      <c r="B89" s="3" t="s">
        <v>26</v>
      </c>
      <c r="C89" s="3" t="s">
        <v>70</v>
      </c>
      <c r="D89" s="3" t="s">
        <v>55</v>
      </c>
      <c r="E89" s="7">
        <v>3</v>
      </c>
      <c r="F89" s="7">
        <v>4</v>
      </c>
      <c r="G89" s="7">
        <v>4</v>
      </c>
      <c r="H89" s="7">
        <v>3</v>
      </c>
      <c r="I89" s="7">
        <v>4</v>
      </c>
      <c r="J89" s="6"/>
      <c r="K89" s="3" t="s">
        <v>27</v>
      </c>
    </row>
    <row r="90" spans="1:11">
      <c r="A90" s="3" t="s">
        <v>32</v>
      </c>
      <c r="B90" s="3" t="s">
        <v>26</v>
      </c>
      <c r="C90" s="3" t="s">
        <v>74</v>
      </c>
      <c r="D90" s="3" t="s">
        <v>55</v>
      </c>
      <c r="E90" s="7">
        <v>4</v>
      </c>
      <c r="F90" s="7">
        <v>4</v>
      </c>
      <c r="G90" s="7">
        <v>4</v>
      </c>
      <c r="H90" s="7">
        <v>4</v>
      </c>
      <c r="I90" s="7">
        <v>4</v>
      </c>
      <c r="J90" s="6"/>
      <c r="K90" s="3" t="s">
        <v>27</v>
      </c>
    </row>
    <row r="91" spans="1:11">
      <c r="A91" s="3" t="s">
        <v>32</v>
      </c>
      <c r="B91" s="3" t="s">
        <v>26</v>
      </c>
      <c r="C91" s="3" t="s">
        <v>77</v>
      </c>
      <c r="D91" s="3" t="s">
        <v>55</v>
      </c>
      <c r="E91" s="7">
        <v>4</v>
      </c>
      <c r="F91" s="7">
        <v>4</v>
      </c>
      <c r="G91" s="7">
        <v>4</v>
      </c>
      <c r="H91" s="7">
        <v>4</v>
      </c>
      <c r="I91" s="7">
        <v>4</v>
      </c>
      <c r="J91" s="6"/>
      <c r="K91" s="3" t="s">
        <v>27</v>
      </c>
    </row>
    <row r="92" spans="1:11">
      <c r="A92" s="3" t="s">
        <v>32</v>
      </c>
      <c r="B92" s="3" t="s">
        <v>26</v>
      </c>
      <c r="C92" s="3" t="s">
        <v>80</v>
      </c>
      <c r="D92" s="3" t="s">
        <v>55</v>
      </c>
      <c r="E92" s="7">
        <v>4</v>
      </c>
      <c r="F92" s="7">
        <v>4</v>
      </c>
      <c r="G92" s="7">
        <v>3</v>
      </c>
      <c r="H92" s="7">
        <v>3</v>
      </c>
      <c r="I92" s="7">
        <v>4</v>
      </c>
      <c r="J92" s="6"/>
      <c r="K92" s="3" t="s">
        <v>27</v>
      </c>
    </row>
    <row r="93" spans="1:11">
      <c r="A93" s="3" t="s">
        <v>32</v>
      </c>
      <c r="B93" s="3" t="s">
        <v>26</v>
      </c>
      <c r="C93" s="3" t="s">
        <v>83</v>
      </c>
      <c r="D93" s="3" t="s">
        <v>55</v>
      </c>
      <c r="E93" s="7">
        <v>3</v>
      </c>
      <c r="F93" s="7">
        <v>4</v>
      </c>
      <c r="G93" s="7">
        <v>4</v>
      </c>
      <c r="H93" s="7">
        <v>2</v>
      </c>
      <c r="I93" s="7">
        <v>3</v>
      </c>
      <c r="J93" s="6"/>
      <c r="K93" s="3" t="s">
        <v>27</v>
      </c>
    </row>
    <row r="94" spans="1:11">
      <c r="A94" s="3" t="s">
        <v>32</v>
      </c>
      <c r="B94" s="3" t="s">
        <v>26</v>
      </c>
      <c r="C94" s="3" t="s">
        <v>87</v>
      </c>
      <c r="D94" s="3" t="s">
        <v>55</v>
      </c>
      <c r="E94" s="7">
        <v>4</v>
      </c>
      <c r="F94" s="7">
        <v>4</v>
      </c>
      <c r="G94" s="7">
        <v>4</v>
      </c>
      <c r="H94" s="7">
        <v>4</v>
      </c>
      <c r="I94" s="7">
        <v>4</v>
      </c>
      <c r="J94" s="6" t="s">
        <v>208</v>
      </c>
      <c r="K94" s="3" t="s">
        <v>27</v>
      </c>
    </row>
    <row r="95" spans="1:11">
      <c r="A95" s="3" t="s">
        <v>32</v>
      </c>
      <c r="B95" s="3" t="s">
        <v>26</v>
      </c>
      <c r="C95" s="3" t="s">
        <v>91</v>
      </c>
      <c r="D95" s="3" t="s">
        <v>55</v>
      </c>
      <c r="E95" s="7">
        <v>4</v>
      </c>
      <c r="F95" s="7">
        <v>4</v>
      </c>
      <c r="G95" s="7">
        <v>4</v>
      </c>
      <c r="H95" s="7">
        <v>4</v>
      </c>
      <c r="I95" s="7">
        <v>4</v>
      </c>
      <c r="J95" s="6"/>
      <c r="K95" s="3" t="s">
        <v>27</v>
      </c>
    </row>
    <row r="96" spans="1:11">
      <c r="A96" s="3" t="s">
        <v>32</v>
      </c>
      <c r="B96" s="3" t="s">
        <v>26</v>
      </c>
      <c r="C96" s="3" t="s">
        <v>94</v>
      </c>
      <c r="D96" s="3" t="s">
        <v>55</v>
      </c>
      <c r="E96" s="7">
        <v>4</v>
      </c>
      <c r="F96" s="7">
        <v>4</v>
      </c>
      <c r="G96" s="7">
        <v>4</v>
      </c>
      <c r="H96" s="7">
        <v>4</v>
      </c>
      <c r="I96" s="7">
        <v>4</v>
      </c>
      <c r="J96" s="6"/>
      <c r="K96" s="3" t="s">
        <v>27</v>
      </c>
    </row>
    <row r="97" spans="1:11">
      <c r="A97" s="3" t="s">
        <v>32</v>
      </c>
      <c r="B97" s="3" t="s">
        <v>26</v>
      </c>
      <c r="C97" s="3" t="s">
        <v>97</v>
      </c>
      <c r="D97" s="3" t="s">
        <v>55</v>
      </c>
      <c r="E97" s="7">
        <v>4</v>
      </c>
      <c r="F97" s="7">
        <v>4</v>
      </c>
      <c r="G97" s="7">
        <v>4</v>
      </c>
      <c r="H97" s="7">
        <v>3</v>
      </c>
      <c r="I97" s="7">
        <v>3</v>
      </c>
      <c r="J97" s="6" t="s">
        <v>209</v>
      </c>
      <c r="K97" s="3" t="s">
        <v>27</v>
      </c>
    </row>
    <row r="98" spans="1:11">
      <c r="A98" s="3" t="s">
        <v>32</v>
      </c>
      <c r="B98" s="3" t="s">
        <v>26</v>
      </c>
      <c r="C98" s="3" t="s">
        <v>100</v>
      </c>
      <c r="D98" s="3" t="s">
        <v>55</v>
      </c>
      <c r="E98" s="7">
        <v>4</v>
      </c>
      <c r="F98" s="7">
        <v>4</v>
      </c>
      <c r="G98" s="7">
        <v>4</v>
      </c>
      <c r="H98" s="7">
        <v>3</v>
      </c>
      <c r="I98" s="7">
        <v>4</v>
      </c>
      <c r="J98" s="6"/>
      <c r="K98" s="3" t="s">
        <v>27</v>
      </c>
    </row>
    <row r="99" spans="1:11">
      <c r="A99" s="3" t="s">
        <v>32</v>
      </c>
      <c r="B99" s="3" t="s">
        <v>26</v>
      </c>
      <c r="C99" s="3" t="s">
        <v>103</v>
      </c>
      <c r="D99" s="3" t="s">
        <v>55</v>
      </c>
      <c r="E99" s="7">
        <v>4</v>
      </c>
      <c r="F99" s="7">
        <v>4</v>
      </c>
      <c r="G99" s="7">
        <v>3</v>
      </c>
      <c r="H99" s="7">
        <v>3</v>
      </c>
      <c r="I99" s="7">
        <v>3</v>
      </c>
      <c r="J99" s="6"/>
      <c r="K99" s="3" t="s">
        <v>27</v>
      </c>
    </row>
    <row r="100" spans="1:11">
      <c r="A100" s="3" t="s">
        <v>32</v>
      </c>
      <c r="B100" s="3" t="s">
        <v>26</v>
      </c>
      <c r="C100" s="3" t="s">
        <v>106</v>
      </c>
      <c r="D100" s="3" t="s">
        <v>55</v>
      </c>
      <c r="E100" s="7">
        <v>4</v>
      </c>
      <c r="F100" s="7">
        <v>4</v>
      </c>
      <c r="G100" s="7">
        <v>4</v>
      </c>
      <c r="H100" s="7">
        <v>4</v>
      </c>
      <c r="I100" s="7">
        <v>4</v>
      </c>
      <c r="J100" s="6" t="s">
        <v>210</v>
      </c>
      <c r="K100" s="3" t="s">
        <v>27</v>
      </c>
    </row>
    <row r="101" spans="1:11">
      <c r="A101" s="3" t="s">
        <v>32</v>
      </c>
      <c r="B101" s="3" t="s">
        <v>26</v>
      </c>
      <c r="C101" s="3" t="s">
        <v>109</v>
      </c>
      <c r="D101" s="3" t="s">
        <v>55</v>
      </c>
      <c r="E101" s="7">
        <v>4</v>
      </c>
      <c r="F101" s="7">
        <v>4</v>
      </c>
      <c r="G101" s="7">
        <v>4</v>
      </c>
      <c r="H101" s="7">
        <v>4</v>
      </c>
      <c r="I101" s="7">
        <v>3</v>
      </c>
      <c r="J101" s="6"/>
      <c r="K101" s="3" t="s">
        <v>27</v>
      </c>
    </row>
    <row r="102" spans="1:11">
      <c r="A102" s="3" t="s">
        <v>32</v>
      </c>
      <c r="B102" s="3" t="s">
        <v>26</v>
      </c>
      <c r="C102" s="3" t="s">
        <v>113</v>
      </c>
      <c r="D102" s="3" t="s">
        <v>55</v>
      </c>
      <c r="E102" s="7">
        <v>3</v>
      </c>
      <c r="F102" s="7">
        <v>4</v>
      </c>
      <c r="G102" s="7">
        <v>4</v>
      </c>
      <c r="H102" s="7">
        <v>3</v>
      </c>
      <c r="I102" s="7">
        <v>4</v>
      </c>
      <c r="J102" s="6"/>
      <c r="K102" s="3" t="s">
        <v>27</v>
      </c>
    </row>
    <row r="103" spans="1:11">
      <c r="A103" s="3" t="s">
        <v>32</v>
      </c>
      <c r="B103" s="3" t="s">
        <v>26</v>
      </c>
      <c r="C103" s="3" t="s">
        <v>116</v>
      </c>
      <c r="D103" s="3" t="s">
        <v>55</v>
      </c>
      <c r="E103" s="7">
        <v>4</v>
      </c>
      <c r="F103" s="7">
        <v>4</v>
      </c>
      <c r="G103" s="7">
        <v>4</v>
      </c>
      <c r="H103" s="7">
        <v>4</v>
      </c>
      <c r="I103" s="7">
        <v>4</v>
      </c>
      <c r="J103" s="6"/>
      <c r="K103" s="3" t="s">
        <v>27</v>
      </c>
    </row>
    <row r="104" spans="1:11">
      <c r="A104" s="3" t="s">
        <v>32</v>
      </c>
      <c r="B104" s="3" t="s">
        <v>26</v>
      </c>
      <c r="C104" s="3" t="s">
        <v>119</v>
      </c>
      <c r="D104" s="3" t="s">
        <v>55</v>
      </c>
      <c r="E104" s="7">
        <v>3</v>
      </c>
      <c r="F104" s="7">
        <v>4</v>
      </c>
      <c r="G104" s="7">
        <v>3</v>
      </c>
      <c r="H104" s="7">
        <v>3</v>
      </c>
      <c r="I104" s="7">
        <v>4</v>
      </c>
      <c r="J104" s="6"/>
      <c r="K104" s="3" t="s">
        <v>27</v>
      </c>
    </row>
    <row r="105" spans="1:11">
      <c r="A105" s="3" t="s">
        <v>32</v>
      </c>
      <c r="B105" s="3" t="s">
        <v>26</v>
      </c>
      <c r="C105" s="3" t="s">
        <v>122</v>
      </c>
      <c r="D105" s="3" t="s">
        <v>55</v>
      </c>
      <c r="E105" s="7">
        <v>3</v>
      </c>
      <c r="F105" s="7">
        <v>4</v>
      </c>
      <c r="G105" s="7">
        <v>4</v>
      </c>
      <c r="H105" s="7">
        <v>4</v>
      </c>
      <c r="I105" s="7">
        <v>4</v>
      </c>
      <c r="J105" s="6"/>
      <c r="K105" s="3" t="s">
        <v>27</v>
      </c>
    </row>
    <row r="106" spans="1:11">
      <c r="A106" s="3" t="s">
        <v>32</v>
      </c>
      <c r="B106" s="3" t="s">
        <v>26</v>
      </c>
      <c r="C106" s="3" t="s">
        <v>125</v>
      </c>
      <c r="D106" s="3" t="s">
        <v>126</v>
      </c>
      <c r="E106" s="7">
        <v>3</v>
      </c>
      <c r="F106" s="7">
        <v>4</v>
      </c>
      <c r="G106" s="7">
        <v>4</v>
      </c>
      <c r="H106" s="7">
        <v>4</v>
      </c>
      <c r="I106" s="7">
        <v>4</v>
      </c>
      <c r="J106" s="6"/>
      <c r="K106" s="3" t="s">
        <v>27</v>
      </c>
    </row>
    <row r="107" spans="1:11">
      <c r="A107" s="3" t="s">
        <v>32</v>
      </c>
      <c r="B107" s="3" t="s">
        <v>26</v>
      </c>
      <c r="C107" s="3" t="s">
        <v>132</v>
      </c>
      <c r="D107" s="3" t="s">
        <v>126</v>
      </c>
      <c r="E107" s="7">
        <v>4</v>
      </c>
      <c r="F107" s="7">
        <v>4</v>
      </c>
      <c r="G107" s="7">
        <v>4</v>
      </c>
      <c r="H107" s="7">
        <v>4</v>
      </c>
      <c r="I107" s="7">
        <v>4</v>
      </c>
      <c r="J107" s="6"/>
      <c r="K107" s="3" t="s">
        <v>27</v>
      </c>
    </row>
    <row r="108" spans="1:11">
      <c r="A108" s="3" t="s">
        <v>32</v>
      </c>
      <c r="B108" s="3" t="s">
        <v>26</v>
      </c>
      <c r="C108" s="3" t="s">
        <v>135</v>
      </c>
      <c r="D108" s="3" t="s">
        <v>126</v>
      </c>
      <c r="E108" s="7">
        <v>4</v>
      </c>
      <c r="F108" s="7">
        <v>4</v>
      </c>
      <c r="G108" s="7">
        <v>4</v>
      </c>
      <c r="H108" s="7">
        <v>4</v>
      </c>
      <c r="I108" s="7">
        <v>4</v>
      </c>
      <c r="J108" s="6"/>
      <c r="K108" s="3" t="s">
        <v>27</v>
      </c>
    </row>
    <row r="109" spans="1:11">
      <c r="A109" s="3" t="s">
        <v>32</v>
      </c>
      <c r="B109" s="3" t="s">
        <v>26</v>
      </c>
      <c r="C109" s="3" t="s">
        <v>138</v>
      </c>
      <c r="D109" s="3" t="s">
        <v>126</v>
      </c>
      <c r="E109" s="7">
        <v>4</v>
      </c>
      <c r="F109" s="7">
        <v>4</v>
      </c>
      <c r="G109" s="7">
        <v>4</v>
      </c>
      <c r="H109" s="7">
        <v>4</v>
      </c>
      <c r="I109" s="7">
        <v>4</v>
      </c>
      <c r="J109" s="6"/>
      <c r="K109" s="3" t="s">
        <v>27</v>
      </c>
    </row>
    <row r="110" spans="1:11">
      <c r="A110" s="3" t="s">
        <v>32</v>
      </c>
      <c r="B110" s="3" t="s">
        <v>26</v>
      </c>
      <c r="C110" s="3" t="s">
        <v>141</v>
      </c>
      <c r="D110" s="3" t="s">
        <v>126</v>
      </c>
      <c r="E110" s="7">
        <v>3</v>
      </c>
      <c r="F110" s="7">
        <v>4</v>
      </c>
      <c r="G110" s="7">
        <v>3</v>
      </c>
      <c r="H110" s="7">
        <v>3</v>
      </c>
      <c r="I110" s="7">
        <v>4</v>
      </c>
      <c r="J110" s="6"/>
      <c r="K110" s="3" t="s">
        <v>27</v>
      </c>
    </row>
    <row r="111" spans="1:11">
      <c r="A111" s="3" t="s">
        <v>32</v>
      </c>
      <c r="B111" s="3" t="s">
        <v>26</v>
      </c>
      <c r="C111" s="3" t="s">
        <v>144</v>
      </c>
      <c r="D111" s="3" t="s">
        <v>126</v>
      </c>
      <c r="E111" s="7">
        <v>4</v>
      </c>
      <c r="F111" s="7">
        <v>4</v>
      </c>
      <c r="G111" s="7">
        <v>4</v>
      </c>
      <c r="H111" s="7">
        <v>3</v>
      </c>
      <c r="I111" s="7">
        <v>4</v>
      </c>
      <c r="J111" s="6" t="s">
        <v>211</v>
      </c>
      <c r="K111" s="3" t="s">
        <v>27</v>
      </c>
    </row>
    <row r="112" spans="1:11">
      <c r="A112" s="3" t="s">
        <v>32</v>
      </c>
      <c r="B112" s="3" t="s">
        <v>26</v>
      </c>
      <c r="C112" s="3" t="s">
        <v>147</v>
      </c>
      <c r="D112" s="3" t="s">
        <v>126</v>
      </c>
      <c r="E112" s="7">
        <v>3</v>
      </c>
      <c r="F112" s="7">
        <v>4</v>
      </c>
      <c r="G112" s="7">
        <v>4</v>
      </c>
      <c r="H112" s="7">
        <v>3</v>
      </c>
      <c r="I112" s="7">
        <v>4</v>
      </c>
      <c r="J112" s="6"/>
      <c r="K112" s="3" t="s">
        <v>27</v>
      </c>
    </row>
    <row r="113" spans="1:11">
      <c r="A113" s="3" t="s">
        <v>32</v>
      </c>
      <c r="B113" s="3" t="s">
        <v>26</v>
      </c>
      <c r="C113" s="3" t="s">
        <v>150</v>
      </c>
      <c r="D113" s="3" t="s">
        <v>126</v>
      </c>
      <c r="E113" s="7">
        <v>4</v>
      </c>
      <c r="F113" s="7">
        <v>4</v>
      </c>
      <c r="G113" s="7">
        <v>3</v>
      </c>
      <c r="H113" s="7">
        <v>3</v>
      </c>
      <c r="I113" s="7">
        <v>3</v>
      </c>
      <c r="J113" s="6"/>
      <c r="K113" s="3" t="s">
        <v>27</v>
      </c>
    </row>
    <row r="114" spans="1:11">
      <c r="A114" s="3" t="s">
        <v>32</v>
      </c>
      <c r="B114" s="3" t="s">
        <v>26</v>
      </c>
      <c r="C114" s="3" t="s">
        <v>153</v>
      </c>
      <c r="D114" s="3" t="s">
        <v>126</v>
      </c>
      <c r="E114" s="7">
        <v>4</v>
      </c>
      <c r="F114" s="7">
        <v>4</v>
      </c>
      <c r="G114" s="7">
        <v>4</v>
      </c>
      <c r="H114" s="7">
        <v>4</v>
      </c>
      <c r="I114" s="7">
        <v>4</v>
      </c>
      <c r="J114" s="6"/>
      <c r="K114" s="3" t="s">
        <v>27</v>
      </c>
    </row>
    <row r="115" spans="1:11">
      <c r="A115" s="3" t="s">
        <v>32</v>
      </c>
      <c r="B115" s="3" t="s">
        <v>26</v>
      </c>
      <c r="C115" s="3" t="s">
        <v>156</v>
      </c>
      <c r="D115" s="3" t="s">
        <v>157</v>
      </c>
      <c r="E115" s="7">
        <v>4</v>
      </c>
      <c r="F115" s="7">
        <v>4</v>
      </c>
      <c r="G115" s="7">
        <v>3</v>
      </c>
      <c r="H115" s="7">
        <v>4</v>
      </c>
      <c r="I115" s="7">
        <v>4</v>
      </c>
      <c r="J115" s="6"/>
      <c r="K115" s="3" t="s">
        <v>27</v>
      </c>
    </row>
    <row r="116" spans="1:11">
      <c r="A116" s="3" t="s">
        <v>32</v>
      </c>
      <c r="B116" s="3" t="s">
        <v>26</v>
      </c>
      <c r="C116" s="3" t="s">
        <v>162</v>
      </c>
      <c r="D116" s="3" t="s">
        <v>157</v>
      </c>
      <c r="E116" s="7">
        <v>4</v>
      </c>
      <c r="F116" s="7">
        <v>4</v>
      </c>
      <c r="G116" s="7">
        <v>4</v>
      </c>
      <c r="H116" s="7">
        <v>4</v>
      </c>
      <c r="I116" s="7">
        <v>4</v>
      </c>
      <c r="J116" s="6"/>
      <c r="K116" s="3" t="s">
        <v>27</v>
      </c>
    </row>
    <row r="117" spans="1:11">
      <c r="A117" s="3" t="s">
        <v>32</v>
      </c>
      <c r="B117" s="3" t="s">
        <v>26</v>
      </c>
      <c r="C117" s="3" t="s">
        <v>165</v>
      </c>
      <c r="D117" s="3" t="s">
        <v>157</v>
      </c>
      <c r="E117" s="7">
        <v>4</v>
      </c>
      <c r="F117" s="7">
        <v>4</v>
      </c>
      <c r="G117" s="7">
        <v>3</v>
      </c>
      <c r="H117" s="7">
        <v>3</v>
      </c>
      <c r="I117" s="7">
        <v>4</v>
      </c>
      <c r="J117" s="6"/>
      <c r="K117" s="3" t="s">
        <v>27</v>
      </c>
    </row>
    <row r="118" spans="1:11">
      <c r="A118" s="3" t="s">
        <v>32</v>
      </c>
      <c r="B118" s="3" t="s">
        <v>26</v>
      </c>
      <c r="C118" s="3" t="s">
        <v>168</v>
      </c>
      <c r="D118" s="3" t="s">
        <v>157</v>
      </c>
      <c r="E118" s="7">
        <v>3</v>
      </c>
      <c r="F118" s="7">
        <v>4</v>
      </c>
      <c r="G118" s="7">
        <v>4</v>
      </c>
      <c r="H118" s="7">
        <v>2</v>
      </c>
      <c r="I118" s="7">
        <v>3</v>
      </c>
      <c r="J118" s="6"/>
      <c r="K118" s="3" t="s">
        <v>27</v>
      </c>
    </row>
    <row r="119" spans="1:11">
      <c r="A119" s="3" t="s">
        <v>32</v>
      </c>
      <c r="B119" s="3" t="s">
        <v>26</v>
      </c>
      <c r="C119" s="3" t="s">
        <v>25</v>
      </c>
      <c r="D119" s="3" t="s">
        <v>171</v>
      </c>
      <c r="E119" s="7">
        <v>4</v>
      </c>
      <c r="F119" s="7">
        <v>4</v>
      </c>
      <c r="G119" s="7">
        <v>4</v>
      </c>
      <c r="H119" s="7">
        <v>4</v>
      </c>
      <c r="I119" s="7">
        <v>4</v>
      </c>
      <c r="J119" s="6"/>
      <c r="K119" s="3" t="s">
        <v>27</v>
      </c>
    </row>
    <row r="120" spans="1:11">
      <c r="A120" s="3" t="s">
        <v>32</v>
      </c>
      <c r="B120" s="3" t="s">
        <v>26</v>
      </c>
      <c r="C120" s="3" t="s">
        <v>31</v>
      </c>
      <c r="D120" s="3" t="s">
        <v>171</v>
      </c>
      <c r="E120" s="7">
        <v>4</v>
      </c>
      <c r="F120" s="7">
        <v>4</v>
      </c>
      <c r="G120" s="7">
        <v>3</v>
      </c>
      <c r="H120" s="7">
        <v>4</v>
      </c>
      <c r="I120" s="7">
        <v>4</v>
      </c>
      <c r="J120" s="6"/>
      <c r="K120" s="3" t="s">
        <v>27</v>
      </c>
    </row>
    <row r="121" spans="1:11">
      <c r="A121" s="3" t="s">
        <v>32</v>
      </c>
      <c r="B121" s="3" t="s">
        <v>26</v>
      </c>
      <c r="C121" s="3" t="s">
        <v>32</v>
      </c>
      <c r="D121" s="3" t="s">
        <v>171</v>
      </c>
      <c r="E121" s="7">
        <v>4</v>
      </c>
      <c r="F121" s="7">
        <v>4</v>
      </c>
      <c r="G121" s="7">
        <v>3</v>
      </c>
      <c r="H121" s="7">
        <v>4</v>
      </c>
      <c r="I121" s="7">
        <v>3</v>
      </c>
      <c r="J121" s="6"/>
      <c r="K121" s="3" t="s">
        <v>27</v>
      </c>
    </row>
    <row r="122" spans="1:11">
      <c r="A122" s="3" t="s">
        <v>32</v>
      </c>
      <c r="B122" s="3" t="s">
        <v>26</v>
      </c>
      <c r="C122" s="3" t="s">
        <v>33</v>
      </c>
      <c r="D122" s="3" t="s">
        <v>171</v>
      </c>
      <c r="E122" s="7">
        <v>4</v>
      </c>
      <c r="F122" s="7">
        <v>4</v>
      </c>
      <c r="G122" s="7">
        <v>4</v>
      </c>
      <c r="H122" s="7">
        <v>4</v>
      </c>
      <c r="I122" s="7">
        <v>3</v>
      </c>
      <c r="J122" s="6"/>
      <c r="K122" s="3" t="s">
        <v>27</v>
      </c>
    </row>
    <row r="123" spans="1:11">
      <c r="A123" s="3" t="s">
        <v>32</v>
      </c>
      <c r="B123" s="3" t="s">
        <v>26</v>
      </c>
      <c r="C123" s="3" t="s">
        <v>34</v>
      </c>
      <c r="D123" s="3" t="s">
        <v>171</v>
      </c>
      <c r="E123" s="7">
        <v>4</v>
      </c>
      <c r="F123" s="7">
        <v>4</v>
      </c>
      <c r="G123" s="7">
        <v>4</v>
      </c>
      <c r="H123" s="7">
        <v>4</v>
      </c>
      <c r="I123" s="7">
        <v>4</v>
      </c>
      <c r="J123" s="6"/>
      <c r="K123" s="3" t="s">
        <v>27</v>
      </c>
    </row>
    <row r="124" spans="1:11">
      <c r="A124" s="3" t="s">
        <v>32</v>
      </c>
      <c r="B124" s="3" t="s">
        <v>26</v>
      </c>
      <c r="C124" s="3" t="s">
        <v>35</v>
      </c>
      <c r="D124" s="3" t="s">
        <v>171</v>
      </c>
      <c r="E124" s="7">
        <v>4</v>
      </c>
      <c r="F124" s="7">
        <v>4</v>
      </c>
      <c r="G124" s="7">
        <v>4</v>
      </c>
      <c r="H124" s="7">
        <v>3</v>
      </c>
      <c r="I124" s="7">
        <v>4</v>
      </c>
      <c r="J124" s="6" t="s">
        <v>212</v>
      </c>
      <c r="K124" s="3" t="s">
        <v>27</v>
      </c>
    </row>
    <row r="125" spans="1:11">
      <c r="A125" s="3" t="s">
        <v>32</v>
      </c>
      <c r="B125" s="3" t="s">
        <v>26</v>
      </c>
      <c r="C125" s="3" t="s">
        <v>186</v>
      </c>
      <c r="D125" s="3" t="s">
        <v>171</v>
      </c>
      <c r="E125" s="7">
        <v>3</v>
      </c>
      <c r="F125" s="7">
        <v>4</v>
      </c>
      <c r="G125" s="7">
        <v>3</v>
      </c>
      <c r="H125" s="7">
        <v>4</v>
      </c>
      <c r="I125" s="7">
        <v>3</v>
      </c>
      <c r="J125" s="6"/>
      <c r="K125" s="3" t="s">
        <v>27</v>
      </c>
    </row>
    <row r="126" spans="1:11">
      <c r="A126" s="3" t="s">
        <v>32</v>
      </c>
      <c r="B126" s="3" t="s">
        <v>26</v>
      </c>
      <c r="C126" s="3" t="s">
        <v>189</v>
      </c>
      <c r="D126" s="3" t="s">
        <v>171</v>
      </c>
      <c r="E126" s="7">
        <v>3</v>
      </c>
      <c r="F126" s="7">
        <v>4</v>
      </c>
      <c r="G126" s="7">
        <v>4</v>
      </c>
      <c r="H126" s="7">
        <v>3</v>
      </c>
      <c r="I126" s="7">
        <v>4</v>
      </c>
      <c r="J126" s="6"/>
      <c r="K126" s="3" t="s">
        <v>27</v>
      </c>
    </row>
    <row r="127" spans="1:11">
      <c r="A127" s="3" t="s">
        <v>32</v>
      </c>
      <c r="B127" s="3" t="s">
        <v>26</v>
      </c>
      <c r="C127" s="3" t="s">
        <v>192</v>
      </c>
      <c r="D127" s="3" t="s">
        <v>171</v>
      </c>
      <c r="E127" s="7">
        <v>4</v>
      </c>
      <c r="F127" s="7">
        <v>4</v>
      </c>
      <c r="G127" s="7">
        <v>3</v>
      </c>
      <c r="H127" s="7">
        <v>3</v>
      </c>
      <c r="I127" s="7">
        <v>4</v>
      </c>
      <c r="J127" s="6"/>
      <c r="K127" s="3" t="s">
        <v>27</v>
      </c>
    </row>
    <row r="128" spans="1:11">
      <c r="A128" s="3" t="s">
        <v>33</v>
      </c>
      <c r="B128" s="3" t="s">
        <v>26</v>
      </c>
      <c r="C128" s="3" t="s">
        <v>54</v>
      </c>
      <c r="D128" s="3" t="s">
        <v>55</v>
      </c>
      <c r="E128" s="7">
        <v>4</v>
      </c>
      <c r="F128" s="7">
        <v>4</v>
      </c>
      <c r="G128" s="7">
        <v>4</v>
      </c>
      <c r="H128" s="7">
        <v>4</v>
      </c>
      <c r="I128" s="7">
        <v>3</v>
      </c>
      <c r="J128" s="6"/>
      <c r="K128" s="3" t="s">
        <v>27</v>
      </c>
    </row>
    <row r="129" spans="1:11">
      <c r="A129" s="3" t="s">
        <v>33</v>
      </c>
      <c r="B129" s="3" t="s">
        <v>26</v>
      </c>
      <c r="C129" s="3" t="s">
        <v>64</v>
      </c>
      <c r="D129" s="3" t="s">
        <v>55</v>
      </c>
      <c r="E129" s="7">
        <v>4</v>
      </c>
      <c r="F129" s="7">
        <v>4</v>
      </c>
      <c r="G129" s="7">
        <v>4</v>
      </c>
      <c r="H129" s="7">
        <v>4</v>
      </c>
      <c r="I129" s="7">
        <v>4</v>
      </c>
      <c r="J129" s="6"/>
      <c r="K129" s="3" t="s">
        <v>27</v>
      </c>
    </row>
    <row r="130" spans="1:11">
      <c r="A130" s="3" t="s">
        <v>33</v>
      </c>
      <c r="B130" s="3" t="s">
        <v>26</v>
      </c>
      <c r="C130" s="3" t="s">
        <v>67</v>
      </c>
      <c r="D130" s="3" t="s">
        <v>55</v>
      </c>
      <c r="E130" s="7">
        <v>3</v>
      </c>
      <c r="F130" s="7">
        <v>4</v>
      </c>
      <c r="G130" s="7">
        <v>4</v>
      </c>
      <c r="H130" s="7">
        <v>3</v>
      </c>
      <c r="I130" s="7">
        <v>4</v>
      </c>
      <c r="J130" s="6"/>
      <c r="K130" s="3" t="s">
        <v>27</v>
      </c>
    </row>
    <row r="131" spans="1:11">
      <c r="A131" s="3" t="s">
        <v>33</v>
      </c>
      <c r="B131" s="3" t="s">
        <v>26</v>
      </c>
      <c r="C131" s="3" t="s">
        <v>70</v>
      </c>
      <c r="D131" s="3" t="s">
        <v>55</v>
      </c>
      <c r="E131" s="7">
        <v>3</v>
      </c>
      <c r="F131" s="7">
        <v>3</v>
      </c>
      <c r="G131" s="7">
        <v>4</v>
      </c>
      <c r="H131" s="7">
        <v>3</v>
      </c>
      <c r="I131" s="7">
        <v>3</v>
      </c>
      <c r="J131" s="6"/>
      <c r="K131" s="3" t="s">
        <v>27</v>
      </c>
    </row>
    <row r="132" spans="1:11">
      <c r="A132" s="3" t="s">
        <v>33</v>
      </c>
      <c r="B132" s="3" t="s">
        <v>26</v>
      </c>
      <c r="C132" s="3" t="s">
        <v>74</v>
      </c>
      <c r="D132" s="3" t="s">
        <v>55</v>
      </c>
      <c r="E132" s="7">
        <v>4</v>
      </c>
      <c r="F132" s="7">
        <v>4</v>
      </c>
      <c r="G132" s="7">
        <v>4</v>
      </c>
      <c r="H132" s="7">
        <v>4</v>
      </c>
      <c r="I132" s="7">
        <v>3</v>
      </c>
      <c r="J132" s="6"/>
      <c r="K132" s="3" t="s">
        <v>27</v>
      </c>
    </row>
    <row r="133" spans="1:11">
      <c r="A133" s="3" t="s">
        <v>33</v>
      </c>
      <c r="B133" s="3" t="s">
        <v>26</v>
      </c>
      <c r="C133" s="3" t="s">
        <v>77</v>
      </c>
      <c r="D133" s="3" t="s">
        <v>55</v>
      </c>
      <c r="E133" s="7">
        <v>4</v>
      </c>
      <c r="F133" s="7">
        <v>4</v>
      </c>
      <c r="G133" s="7">
        <v>4</v>
      </c>
      <c r="H133" s="7">
        <v>4</v>
      </c>
      <c r="I133" s="7">
        <v>4</v>
      </c>
      <c r="J133" s="6" t="s">
        <v>213</v>
      </c>
      <c r="K133" s="3" t="s">
        <v>27</v>
      </c>
    </row>
    <row r="134" spans="1:11">
      <c r="A134" s="3" t="s">
        <v>33</v>
      </c>
      <c r="B134" s="3" t="s">
        <v>26</v>
      </c>
      <c r="C134" s="3" t="s">
        <v>80</v>
      </c>
      <c r="D134" s="3" t="s">
        <v>55</v>
      </c>
      <c r="E134" s="7">
        <v>4</v>
      </c>
      <c r="F134" s="7">
        <v>4</v>
      </c>
      <c r="G134" s="7">
        <v>4</v>
      </c>
      <c r="H134" s="7">
        <v>3</v>
      </c>
      <c r="I134" s="7">
        <v>4</v>
      </c>
      <c r="J134" s="6"/>
      <c r="K134" s="3" t="s">
        <v>27</v>
      </c>
    </row>
    <row r="135" spans="1:11">
      <c r="A135" s="3" t="s">
        <v>33</v>
      </c>
      <c r="B135" s="3" t="s">
        <v>26</v>
      </c>
      <c r="C135" s="3" t="s">
        <v>83</v>
      </c>
      <c r="D135" s="3" t="s">
        <v>55</v>
      </c>
      <c r="E135" s="7">
        <v>4</v>
      </c>
      <c r="F135" s="7">
        <v>4</v>
      </c>
      <c r="G135" s="7">
        <v>3</v>
      </c>
      <c r="H135" s="7">
        <v>3</v>
      </c>
      <c r="I135" s="7">
        <v>3</v>
      </c>
      <c r="J135" s="6"/>
      <c r="K135" s="3" t="s">
        <v>27</v>
      </c>
    </row>
    <row r="136" spans="1:11">
      <c r="A136" s="3" t="s">
        <v>33</v>
      </c>
      <c r="B136" s="3" t="s">
        <v>26</v>
      </c>
      <c r="C136" s="3" t="s">
        <v>87</v>
      </c>
      <c r="D136" s="3" t="s">
        <v>55</v>
      </c>
      <c r="E136" s="7">
        <v>4</v>
      </c>
      <c r="F136" s="7">
        <v>4</v>
      </c>
      <c r="G136" s="7">
        <v>4</v>
      </c>
      <c r="H136" s="7">
        <v>4</v>
      </c>
      <c r="I136" s="7">
        <v>3</v>
      </c>
      <c r="J136" s="6"/>
      <c r="K136" s="3" t="s">
        <v>27</v>
      </c>
    </row>
    <row r="137" spans="1:11">
      <c r="A137" s="3" t="s">
        <v>33</v>
      </c>
      <c r="B137" s="3" t="s">
        <v>26</v>
      </c>
      <c r="C137" s="3" t="s">
        <v>91</v>
      </c>
      <c r="D137" s="3" t="s">
        <v>55</v>
      </c>
      <c r="E137" s="7">
        <v>4</v>
      </c>
      <c r="F137" s="7">
        <v>3</v>
      </c>
      <c r="G137" s="7">
        <v>4</v>
      </c>
      <c r="H137" s="7">
        <v>4</v>
      </c>
      <c r="I137" s="7">
        <v>3</v>
      </c>
      <c r="J137" s="6"/>
      <c r="K137" s="3" t="s">
        <v>27</v>
      </c>
    </row>
    <row r="138" spans="1:11">
      <c r="A138" s="3" t="s">
        <v>33</v>
      </c>
      <c r="B138" s="3" t="s">
        <v>26</v>
      </c>
      <c r="C138" s="3" t="s">
        <v>94</v>
      </c>
      <c r="D138" s="3" t="s">
        <v>55</v>
      </c>
      <c r="E138" s="7">
        <v>4</v>
      </c>
      <c r="F138" s="7">
        <v>4</v>
      </c>
      <c r="G138" s="7">
        <v>4</v>
      </c>
      <c r="H138" s="7">
        <v>4</v>
      </c>
      <c r="I138" s="7">
        <v>4</v>
      </c>
      <c r="J138" s="6" t="s">
        <v>214</v>
      </c>
      <c r="K138" s="3" t="s">
        <v>27</v>
      </c>
    </row>
    <row r="139" spans="1:11">
      <c r="A139" s="3" t="s">
        <v>33</v>
      </c>
      <c r="B139" s="3" t="s">
        <v>26</v>
      </c>
      <c r="C139" s="3" t="s">
        <v>97</v>
      </c>
      <c r="D139" s="3" t="s">
        <v>55</v>
      </c>
      <c r="E139" s="7">
        <v>3</v>
      </c>
      <c r="F139" s="7">
        <v>4</v>
      </c>
      <c r="G139" s="7">
        <v>4</v>
      </c>
      <c r="H139" s="7">
        <v>3</v>
      </c>
      <c r="I139" s="7">
        <v>4</v>
      </c>
      <c r="J139" s="6"/>
      <c r="K139" s="3" t="s">
        <v>27</v>
      </c>
    </row>
    <row r="140" spans="1:11">
      <c r="A140" s="3" t="s">
        <v>33</v>
      </c>
      <c r="B140" s="3" t="s">
        <v>26</v>
      </c>
      <c r="C140" s="3" t="s">
        <v>100</v>
      </c>
      <c r="D140" s="3" t="s">
        <v>55</v>
      </c>
      <c r="E140" s="7">
        <v>3</v>
      </c>
      <c r="F140" s="7">
        <v>4</v>
      </c>
      <c r="G140" s="7">
        <v>4</v>
      </c>
      <c r="H140" s="7">
        <v>3</v>
      </c>
      <c r="I140" s="7">
        <v>4</v>
      </c>
      <c r="J140" s="6"/>
      <c r="K140" s="3" t="s">
        <v>27</v>
      </c>
    </row>
    <row r="141" spans="1:11">
      <c r="A141" s="3" t="s">
        <v>33</v>
      </c>
      <c r="B141" s="3" t="s">
        <v>26</v>
      </c>
      <c r="C141" s="3" t="s">
        <v>103</v>
      </c>
      <c r="D141" s="3" t="s">
        <v>55</v>
      </c>
      <c r="E141" s="7">
        <v>3</v>
      </c>
      <c r="F141" s="7">
        <v>4</v>
      </c>
      <c r="G141" s="7">
        <v>4</v>
      </c>
      <c r="H141" s="7">
        <v>3</v>
      </c>
      <c r="I141" s="7">
        <v>3</v>
      </c>
      <c r="J141" s="6"/>
      <c r="K141" s="3" t="s">
        <v>27</v>
      </c>
    </row>
    <row r="142" spans="1:11">
      <c r="A142" s="3" t="s">
        <v>33</v>
      </c>
      <c r="B142" s="3" t="s">
        <v>26</v>
      </c>
      <c r="C142" s="3" t="s">
        <v>106</v>
      </c>
      <c r="D142" s="3" t="s">
        <v>55</v>
      </c>
      <c r="E142" s="7">
        <v>4</v>
      </c>
      <c r="F142" s="7">
        <v>3</v>
      </c>
      <c r="G142" s="7">
        <v>4</v>
      </c>
      <c r="H142" s="7">
        <v>4</v>
      </c>
      <c r="I142" s="7">
        <v>4</v>
      </c>
      <c r="J142" s="6"/>
      <c r="K142" s="3" t="s">
        <v>27</v>
      </c>
    </row>
    <row r="143" spans="1:11">
      <c r="A143" s="3" t="s">
        <v>33</v>
      </c>
      <c r="B143" s="3" t="s">
        <v>26</v>
      </c>
      <c r="C143" s="3" t="s">
        <v>109</v>
      </c>
      <c r="D143" s="3" t="s">
        <v>55</v>
      </c>
      <c r="E143" s="7">
        <v>4</v>
      </c>
      <c r="F143" s="7">
        <v>4</v>
      </c>
      <c r="G143" s="7">
        <v>4</v>
      </c>
      <c r="H143" s="7">
        <v>4</v>
      </c>
      <c r="I143" s="7">
        <v>4</v>
      </c>
      <c r="J143" s="6"/>
      <c r="K143" s="3" t="s">
        <v>27</v>
      </c>
    </row>
    <row r="144" spans="1:11">
      <c r="A144" s="3" t="s">
        <v>33</v>
      </c>
      <c r="B144" s="3" t="s">
        <v>26</v>
      </c>
      <c r="C144" s="3" t="s">
        <v>113</v>
      </c>
      <c r="D144" s="3" t="s">
        <v>55</v>
      </c>
      <c r="E144" s="7">
        <v>4</v>
      </c>
      <c r="F144" s="7">
        <v>4</v>
      </c>
      <c r="G144" s="7">
        <v>3</v>
      </c>
      <c r="H144" s="7">
        <v>3</v>
      </c>
      <c r="I144" s="7">
        <v>4</v>
      </c>
      <c r="J144" s="6"/>
      <c r="K144" s="3" t="s">
        <v>27</v>
      </c>
    </row>
    <row r="145" spans="1:11">
      <c r="A145" s="3" t="s">
        <v>33</v>
      </c>
      <c r="B145" s="3" t="s">
        <v>26</v>
      </c>
      <c r="C145" s="3" t="s">
        <v>116</v>
      </c>
      <c r="D145" s="3" t="s">
        <v>55</v>
      </c>
      <c r="E145" s="7">
        <v>4</v>
      </c>
      <c r="F145" s="7">
        <v>3</v>
      </c>
      <c r="G145" s="7">
        <v>4</v>
      </c>
      <c r="H145" s="7">
        <v>4</v>
      </c>
      <c r="I145" s="7">
        <v>3</v>
      </c>
      <c r="J145" s="6"/>
      <c r="K145" s="3" t="s">
        <v>27</v>
      </c>
    </row>
    <row r="146" spans="1:11">
      <c r="A146" s="3" t="s">
        <v>33</v>
      </c>
      <c r="B146" s="3" t="s">
        <v>26</v>
      </c>
      <c r="C146" s="3" t="s">
        <v>119</v>
      </c>
      <c r="D146" s="3" t="s">
        <v>55</v>
      </c>
      <c r="E146" s="7">
        <v>3</v>
      </c>
      <c r="F146" s="7">
        <v>4</v>
      </c>
      <c r="G146" s="7">
        <v>3</v>
      </c>
      <c r="H146" s="7">
        <v>3</v>
      </c>
      <c r="I146" s="7">
        <v>4</v>
      </c>
      <c r="J146" s="6"/>
      <c r="K146" s="3" t="s">
        <v>27</v>
      </c>
    </row>
    <row r="147" spans="1:11">
      <c r="A147" s="3" t="s">
        <v>33</v>
      </c>
      <c r="B147" s="3" t="s">
        <v>26</v>
      </c>
      <c r="C147" s="3" t="s">
        <v>122</v>
      </c>
      <c r="D147" s="3" t="s">
        <v>55</v>
      </c>
      <c r="E147" s="7">
        <v>4</v>
      </c>
      <c r="F147" s="7">
        <v>4</v>
      </c>
      <c r="G147" s="7">
        <v>3</v>
      </c>
      <c r="H147" s="7">
        <v>4</v>
      </c>
      <c r="I147" s="7">
        <v>4</v>
      </c>
      <c r="J147" s="6"/>
      <c r="K147" s="3" t="s">
        <v>27</v>
      </c>
    </row>
    <row r="148" spans="1:11">
      <c r="A148" s="3" t="s">
        <v>33</v>
      </c>
      <c r="B148" s="3" t="s">
        <v>26</v>
      </c>
      <c r="C148" s="3" t="s">
        <v>125</v>
      </c>
      <c r="D148" s="3" t="s">
        <v>126</v>
      </c>
      <c r="E148" s="7">
        <v>3</v>
      </c>
      <c r="F148" s="7">
        <v>4</v>
      </c>
      <c r="G148" s="7">
        <v>4</v>
      </c>
      <c r="H148" s="7">
        <v>4</v>
      </c>
      <c r="I148" s="7">
        <v>4</v>
      </c>
      <c r="J148" s="6"/>
      <c r="K148" s="3" t="s">
        <v>27</v>
      </c>
    </row>
    <row r="149" spans="1:11">
      <c r="A149" s="3" t="s">
        <v>33</v>
      </c>
      <c r="B149" s="3" t="s">
        <v>26</v>
      </c>
      <c r="C149" s="3" t="s">
        <v>132</v>
      </c>
      <c r="D149" s="3" t="s">
        <v>126</v>
      </c>
      <c r="E149" s="7">
        <v>4</v>
      </c>
      <c r="F149" s="7">
        <v>4</v>
      </c>
      <c r="G149" s="7">
        <v>4</v>
      </c>
      <c r="H149" s="7">
        <v>4</v>
      </c>
      <c r="I149" s="7">
        <v>4</v>
      </c>
      <c r="J149" s="6"/>
      <c r="K149" s="3" t="s">
        <v>27</v>
      </c>
    </row>
    <row r="150" spans="1:11">
      <c r="A150" s="3" t="s">
        <v>33</v>
      </c>
      <c r="B150" s="3" t="s">
        <v>26</v>
      </c>
      <c r="C150" s="3" t="s">
        <v>135</v>
      </c>
      <c r="D150" s="3" t="s">
        <v>126</v>
      </c>
      <c r="E150" s="7">
        <v>4</v>
      </c>
      <c r="F150" s="7">
        <v>4</v>
      </c>
      <c r="G150" s="7">
        <v>4</v>
      </c>
      <c r="H150" s="7">
        <v>4</v>
      </c>
      <c r="I150" s="7">
        <v>4</v>
      </c>
      <c r="J150" s="6"/>
      <c r="K150" s="3" t="s">
        <v>27</v>
      </c>
    </row>
    <row r="151" spans="1:11">
      <c r="A151" s="3" t="s">
        <v>33</v>
      </c>
      <c r="B151" s="3" t="s">
        <v>26</v>
      </c>
      <c r="C151" s="3" t="s">
        <v>138</v>
      </c>
      <c r="D151" s="3" t="s">
        <v>126</v>
      </c>
      <c r="E151" s="7">
        <v>4</v>
      </c>
      <c r="F151" s="7">
        <v>4</v>
      </c>
      <c r="G151" s="7">
        <v>4</v>
      </c>
      <c r="H151" s="7">
        <v>4</v>
      </c>
      <c r="I151" s="7">
        <v>4</v>
      </c>
      <c r="J151" s="6" t="s">
        <v>215</v>
      </c>
      <c r="K151" s="3" t="s">
        <v>27</v>
      </c>
    </row>
    <row r="152" spans="1:11">
      <c r="A152" s="3" t="s">
        <v>33</v>
      </c>
      <c r="B152" s="3" t="s">
        <v>26</v>
      </c>
      <c r="C152" s="3" t="s">
        <v>141</v>
      </c>
      <c r="D152" s="3" t="s">
        <v>126</v>
      </c>
      <c r="E152" s="7">
        <v>4</v>
      </c>
      <c r="F152" s="7">
        <v>4</v>
      </c>
      <c r="G152" s="7">
        <v>3</v>
      </c>
      <c r="H152" s="7">
        <v>2</v>
      </c>
      <c r="I152" s="7">
        <v>4</v>
      </c>
      <c r="J152" s="6"/>
      <c r="K152" s="3" t="s">
        <v>27</v>
      </c>
    </row>
    <row r="153" spans="1:11">
      <c r="A153" s="3" t="s">
        <v>33</v>
      </c>
      <c r="B153" s="3" t="s">
        <v>26</v>
      </c>
      <c r="C153" s="3" t="s">
        <v>144</v>
      </c>
      <c r="D153" s="3" t="s">
        <v>126</v>
      </c>
      <c r="E153" s="7">
        <v>4</v>
      </c>
      <c r="F153" s="7">
        <v>4</v>
      </c>
      <c r="G153" s="7">
        <v>4</v>
      </c>
      <c r="H153" s="7">
        <v>3</v>
      </c>
      <c r="I153" s="7">
        <v>4</v>
      </c>
      <c r="J153" s="6"/>
      <c r="K153" s="3" t="s">
        <v>27</v>
      </c>
    </row>
    <row r="154" spans="1:11">
      <c r="A154" s="3" t="s">
        <v>33</v>
      </c>
      <c r="B154" s="3" t="s">
        <v>26</v>
      </c>
      <c r="C154" s="3" t="s">
        <v>147</v>
      </c>
      <c r="D154" s="3" t="s">
        <v>126</v>
      </c>
      <c r="E154" s="7">
        <v>3</v>
      </c>
      <c r="F154" s="7">
        <v>3</v>
      </c>
      <c r="G154" s="7">
        <v>4</v>
      </c>
      <c r="H154" s="7">
        <v>2</v>
      </c>
      <c r="I154" s="7">
        <v>4</v>
      </c>
      <c r="J154" s="6"/>
      <c r="K154" s="3" t="s">
        <v>27</v>
      </c>
    </row>
    <row r="155" spans="1:11">
      <c r="A155" s="3" t="s">
        <v>33</v>
      </c>
      <c r="B155" s="3" t="s">
        <v>26</v>
      </c>
      <c r="C155" s="3" t="s">
        <v>150</v>
      </c>
      <c r="D155" s="3" t="s">
        <v>126</v>
      </c>
      <c r="E155" s="7">
        <v>3</v>
      </c>
      <c r="F155" s="7">
        <v>4</v>
      </c>
      <c r="G155" s="7">
        <v>4</v>
      </c>
      <c r="H155" s="7">
        <v>2</v>
      </c>
      <c r="I155" s="7">
        <v>3</v>
      </c>
      <c r="J155" s="6"/>
      <c r="K155" s="3" t="s">
        <v>27</v>
      </c>
    </row>
    <row r="156" spans="1:11">
      <c r="A156" s="3" t="s">
        <v>33</v>
      </c>
      <c r="B156" s="3" t="s">
        <v>26</v>
      </c>
      <c r="C156" s="3" t="s">
        <v>153</v>
      </c>
      <c r="D156" s="3" t="s">
        <v>126</v>
      </c>
      <c r="E156" s="7">
        <v>4</v>
      </c>
      <c r="F156" s="7">
        <v>3</v>
      </c>
      <c r="G156" s="7">
        <v>4</v>
      </c>
      <c r="H156" s="7">
        <v>3</v>
      </c>
      <c r="I156" s="7">
        <v>4</v>
      </c>
      <c r="J156" s="6"/>
      <c r="K156" s="3" t="s">
        <v>27</v>
      </c>
    </row>
    <row r="157" spans="1:11">
      <c r="A157" s="3" t="s">
        <v>33</v>
      </c>
      <c r="B157" s="3" t="s">
        <v>26</v>
      </c>
      <c r="C157" s="3" t="s">
        <v>156</v>
      </c>
      <c r="D157" s="3" t="s">
        <v>157</v>
      </c>
      <c r="E157" s="7">
        <v>4</v>
      </c>
      <c r="F157" s="7">
        <v>4</v>
      </c>
      <c r="G157" s="7">
        <v>3</v>
      </c>
      <c r="H157" s="7">
        <v>4</v>
      </c>
      <c r="I157" s="7">
        <v>3</v>
      </c>
      <c r="J157" s="6"/>
      <c r="K157" s="3" t="s">
        <v>27</v>
      </c>
    </row>
    <row r="158" spans="1:11">
      <c r="A158" s="3" t="s">
        <v>33</v>
      </c>
      <c r="B158" s="3" t="s">
        <v>26</v>
      </c>
      <c r="C158" s="3" t="s">
        <v>162</v>
      </c>
      <c r="D158" s="3" t="s">
        <v>157</v>
      </c>
      <c r="E158" s="7">
        <v>4</v>
      </c>
      <c r="F158" s="7">
        <v>4</v>
      </c>
      <c r="G158" s="7">
        <v>4</v>
      </c>
      <c r="H158" s="7">
        <v>4</v>
      </c>
      <c r="I158" s="7">
        <v>4</v>
      </c>
      <c r="J158" s="6" t="s">
        <v>216</v>
      </c>
      <c r="K158" s="3" t="s">
        <v>27</v>
      </c>
    </row>
    <row r="159" spans="1:11">
      <c r="A159" s="3" t="s">
        <v>33</v>
      </c>
      <c r="B159" s="3" t="s">
        <v>26</v>
      </c>
      <c r="C159" s="3" t="s">
        <v>165</v>
      </c>
      <c r="D159" s="3" t="s">
        <v>157</v>
      </c>
      <c r="E159" s="7">
        <v>4</v>
      </c>
      <c r="F159" s="7">
        <v>4</v>
      </c>
      <c r="G159" s="7">
        <v>3</v>
      </c>
      <c r="H159" s="7">
        <v>3</v>
      </c>
      <c r="I159" s="7">
        <v>4</v>
      </c>
      <c r="J159" s="6"/>
      <c r="K159" s="3" t="s">
        <v>27</v>
      </c>
    </row>
    <row r="160" spans="1:11">
      <c r="A160" s="3" t="s">
        <v>33</v>
      </c>
      <c r="B160" s="3" t="s">
        <v>26</v>
      </c>
      <c r="C160" s="3" t="s">
        <v>168</v>
      </c>
      <c r="D160" s="3" t="s">
        <v>157</v>
      </c>
      <c r="E160" s="7">
        <v>4</v>
      </c>
      <c r="F160" s="7">
        <v>4</v>
      </c>
      <c r="G160" s="7">
        <v>3</v>
      </c>
      <c r="H160" s="7">
        <v>3</v>
      </c>
      <c r="I160" s="7">
        <v>3</v>
      </c>
      <c r="J160" s="6"/>
      <c r="K160" s="3" t="s">
        <v>27</v>
      </c>
    </row>
    <row r="161" spans="1:11">
      <c r="A161" s="3" t="s">
        <v>33</v>
      </c>
      <c r="B161" s="3" t="s">
        <v>26</v>
      </c>
      <c r="C161" s="3" t="s">
        <v>25</v>
      </c>
      <c r="D161" s="3" t="s">
        <v>171</v>
      </c>
      <c r="E161" s="7">
        <v>4</v>
      </c>
      <c r="F161" s="7">
        <v>3</v>
      </c>
      <c r="G161" s="7">
        <v>4</v>
      </c>
      <c r="H161" s="7">
        <v>4</v>
      </c>
      <c r="I161" s="7">
        <v>4</v>
      </c>
      <c r="J161" s="6"/>
      <c r="K161" s="3" t="s">
        <v>27</v>
      </c>
    </row>
    <row r="162" spans="1:11">
      <c r="A162" s="3" t="s">
        <v>33</v>
      </c>
      <c r="B162" s="3" t="s">
        <v>26</v>
      </c>
      <c r="C162" s="3" t="s">
        <v>31</v>
      </c>
      <c r="D162" s="3" t="s">
        <v>171</v>
      </c>
      <c r="E162" s="7">
        <v>3</v>
      </c>
      <c r="F162" s="7">
        <v>4</v>
      </c>
      <c r="G162" s="7">
        <v>4</v>
      </c>
      <c r="H162" s="7">
        <v>3</v>
      </c>
      <c r="I162" s="7">
        <v>4</v>
      </c>
      <c r="J162" s="6"/>
      <c r="K162" s="3" t="s">
        <v>27</v>
      </c>
    </row>
    <row r="163" spans="1:11">
      <c r="A163" s="3" t="s">
        <v>33</v>
      </c>
      <c r="B163" s="3" t="s">
        <v>26</v>
      </c>
      <c r="C163" s="3" t="s">
        <v>32</v>
      </c>
      <c r="D163" s="3" t="s">
        <v>171</v>
      </c>
      <c r="E163" s="7">
        <v>4</v>
      </c>
      <c r="F163" s="7">
        <v>3</v>
      </c>
      <c r="G163" s="7">
        <v>3</v>
      </c>
      <c r="H163" s="7">
        <v>4</v>
      </c>
      <c r="I163" s="7">
        <v>4</v>
      </c>
      <c r="J163" s="6"/>
      <c r="K163" s="3" t="s">
        <v>27</v>
      </c>
    </row>
    <row r="164" spans="1:11">
      <c r="A164" s="3" t="s">
        <v>33</v>
      </c>
      <c r="B164" s="3" t="s">
        <v>26</v>
      </c>
      <c r="C164" s="3" t="s">
        <v>33</v>
      </c>
      <c r="D164" s="3" t="s">
        <v>171</v>
      </c>
      <c r="E164" s="7">
        <v>4</v>
      </c>
      <c r="F164" s="7">
        <v>4</v>
      </c>
      <c r="G164" s="7">
        <v>4</v>
      </c>
      <c r="H164" s="7">
        <v>4</v>
      </c>
      <c r="I164" s="7">
        <v>3</v>
      </c>
      <c r="J164" s="6" t="s">
        <v>217</v>
      </c>
      <c r="K164" s="3" t="s">
        <v>27</v>
      </c>
    </row>
    <row r="165" spans="1:11">
      <c r="A165" s="3" t="s">
        <v>33</v>
      </c>
      <c r="B165" s="3" t="s">
        <v>26</v>
      </c>
      <c r="C165" s="3" t="s">
        <v>34</v>
      </c>
      <c r="D165" s="3" t="s">
        <v>171</v>
      </c>
      <c r="E165" s="7">
        <v>4</v>
      </c>
      <c r="F165" s="7">
        <v>3</v>
      </c>
      <c r="G165" s="7">
        <v>4</v>
      </c>
      <c r="H165" s="7">
        <v>4</v>
      </c>
      <c r="I165" s="7">
        <v>3</v>
      </c>
      <c r="J165" s="6"/>
      <c r="K165" s="3" t="s">
        <v>27</v>
      </c>
    </row>
    <row r="166" spans="1:11">
      <c r="A166" s="3" t="s">
        <v>33</v>
      </c>
      <c r="B166" s="3" t="s">
        <v>26</v>
      </c>
      <c r="C166" s="3" t="s">
        <v>35</v>
      </c>
      <c r="D166" s="3" t="s">
        <v>171</v>
      </c>
      <c r="E166" s="7">
        <v>3</v>
      </c>
      <c r="F166" s="7">
        <v>4</v>
      </c>
      <c r="G166" s="7">
        <v>4</v>
      </c>
      <c r="H166" s="7">
        <v>2</v>
      </c>
      <c r="I166" s="7">
        <v>4</v>
      </c>
      <c r="J166" s="6"/>
      <c r="K166" s="3" t="s">
        <v>27</v>
      </c>
    </row>
    <row r="167" spans="1:11">
      <c r="A167" s="3" t="s">
        <v>33</v>
      </c>
      <c r="B167" s="3" t="s">
        <v>26</v>
      </c>
      <c r="C167" s="3" t="s">
        <v>186</v>
      </c>
      <c r="D167" s="3" t="s">
        <v>171</v>
      </c>
      <c r="E167" s="7">
        <v>3</v>
      </c>
      <c r="F167" s="7">
        <v>3</v>
      </c>
      <c r="G167" s="7">
        <v>4</v>
      </c>
      <c r="H167" s="7">
        <v>4</v>
      </c>
      <c r="I167" s="7">
        <v>4</v>
      </c>
      <c r="J167" s="6"/>
      <c r="K167" s="3" t="s">
        <v>27</v>
      </c>
    </row>
    <row r="168" spans="1:11">
      <c r="A168" s="3" t="s">
        <v>33</v>
      </c>
      <c r="B168" s="3" t="s">
        <v>26</v>
      </c>
      <c r="C168" s="3" t="s">
        <v>189</v>
      </c>
      <c r="D168" s="3" t="s">
        <v>171</v>
      </c>
      <c r="E168" s="7">
        <v>4</v>
      </c>
      <c r="F168" s="7">
        <v>3</v>
      </c>
      <c r="G168" s="7">
        <v>3</v>
      </c>
      <c r="H168" s="7">
        <v>3</v>
      </c>
      <c r="I168" s="7">
        <v>4</v>
      </c>
      <c r="J168" s="6"/>
      <c r="K168" s="3" t="s">
        <v>27</v>
      </c>
    </row>
    <row r="169" spans="1:11">
      <c r="A169" s="3" t="s">
        <v>33</v>
      </c>
      <c r="B169" s="3" t="s">
        <v>26</v>
      </c>
      <c r="C169" s="3" t="s">
        <v>192</v>
      </c>
      <c r="D169" s="3" t="s">
        <v>171</v>
      </c>
      <c r="E169" s="7">
        <v>4</v>
      </c>
      <c r="F169" s="7">
        <v>4</v>
      </c>
      <c r="G169" s="7">
        <v>3</v>
      </c>
      <c r="H169" s="7">
        <v>3</v>
      </c>
      <c r="I169" s="7">
        <v>4</v>
      </c>
      <c r="J169" s="6"/>
      <c r="K169" s="3" t="s">
        <v>27</v>
      </c>
    </row>
    <row r="170" spans="1:11">
      <c r="A170" s="3" t="s">
        <v>34</v>
      </c>
      <c r="B170" s="3" t="s">
        <v>26</v>
      </c>
      <c r="C170" s="3" t="s">
        <v>54</v>
      </c>
      <c r="D170" s="3" t="s">
        <v>55</v>
      </c>
      <c r="E170" s="7">
        <v>4</v>
      </c>
      <c r="F170" s="7">
        <v>4</v>
      </c>
      <c r="G170" s="7">
        <v>4</v>
      </c>
      <c r="H170" s="7">
        <v>4</v>
      </c>
      <c r="I170" s="7">
        <v>3</v>
      </c>
      <c r="J170" s="6"/>
      <c r="K170" s="3" t="s">
        <v>27</v>
      </c>
    </row>
    <row r="171" spans="1:11">
      <c r="A171" s="3" t="s">
        <v>34</v>
      </c>
      <c r="B171" s="3" t="s">
        <v>26</v>
      </c>
      <c r="C171" s="3" t="s">
        <v>64</v>
      </c>
      <c r="D171" s="3" t="s">
        <v>55</v>
      </c>
      <c r="E171" s="7">
        <v>4</v>
      </c>
      <c r="F171" s="7">
        <v>4</v>
      </c>
      <c r="G171" s="7">
        <v>4</v>
      </c>
      <c r="H171" s="7">
        <v>4</v>
      </c>
      <c r="I171" s="7">
        <v>4</v>
      </c>
      <c r="J171" s="6"/>
      <c r="K171" s="3" t="s">
        <v>27</v>
      </c>
    </row>
    <row r="172" spans="1:11">
      <c r="A172" s="3" t="s">
        <v>34</v>
      </c>
      <c r="B172" s="3" t="s">
        <v>26</v>
      </c>
      <c r="C172" s="3" t="s">
        <v>67</v>
      </c>
      <c r="D172" s="3" t="s">
        <v>55</v>
      </c>
      <c r="E172" s="7">
        <v>3</v>
      </c>
      <c r="F172" s="7">
        <v>4</v>
      </c>
      <c r="G172" s="7">
        <v>3</v>
      </c>
      <c r="H172" s="7">
        <v>3</v>
      </c>
      <c r="I172" s="7">
        <v>3</v>
      </c>
      <c r="J172" s="6"/>
      <c r="K172" s="3" t="s">
        <v>27</v>
      </c>
    </row>
    <row r="173" spans="1:11">
      <c r="A173" s="3" t="s">
        <v>34</v>
      </c>
      <c r="B173" s="3" t="s">
        <v>26</v>
      </c>
      <c r="C173" s="3" t="s">
        <v>70</v>
      </c>
      <c r="D173" s="3" t="s">
        <v>55</v>
      </c>
      <c r="E173" s="7">
        <v>4</v>
      </c>
      <c r="F173" s="7">
        <v>3</v>
      </c>
      <c r="G173" s="7">
        <v>3</v>
      </c>
      <c r="H173" s="7">
        <v>3</v>
      </c>
      <c r="I173" s="7">
        <v>4</v>
      </c>
      <c r="J173" s="6"/>
      <c r="K173" s="3" t="s">
        <v>27</v>
      </c>
    </row>
    <row r="174" spans="1:11">
      <c r="A174" s="3" t="s">
        <v>34</v>
      </c>
      <c r="B174" s="3" t="s">
        <v>26</v>
      </c>
      <c r="C174" s="3" t="s">
        <v>74</v>
      </c>
      <c r="D174" s="3" t="s">
        <v>55</v>
      </c>
      <c r="E174" s="7">
        <v>4</v>
      </c>
      <c r="F174" s="7">
        <v>3</v>
      </c>
      <c r="G174" s="7">
        <v>4</v>
      </c>
      <c r="H174" s="7">
        <v>4</v>
      </c>
      <c r="I174" s="7">
        <v>4</v>
      </c>
      <c r="J174" s="6"/>
      <c r="K174" s="3" t="s">
        <v>27</v>
      </c>
    </row>
    <row r="175" spans="1:11">
      <c r="A175" s="3" t="s">
        <v>34</v>
      </c>
      <c r="B175" s="3" t="s">
        <v>26</v>
      </c>
      <c r="C175" s="3" t="s">
        <v>77</v>
      </c>
      <c r="D175" s="3" t="s">
        <v>55</v>
      </c>
      <c r="E175" s="7">
        <v>4</v>
      </c>
      <c r="F175" s="7">
        <v>4</v>
      </c>
      <c r="G175" s="7">
        <v>4</v>
      </c>
      <c r="H175" s="7">
        <v>4</v>
      </c>
      <c r="I175" s="7">
        <v>4</v>
      </c>
      <c r="J175" s="6"/>
      <c r="K175" s="3" t="s">
        <v>27</v>
      </c>
    </row>
    <row r="176" spans="1:11">
      <c r="A176" s="3" t="s">
        <v>34</v>
      </c>
      <c r="B176" s="3" t="s">
        <v>26</v>
      </c>
      <c r="C176" s="3" t="s">
        <v>80</v>
      </c>
      <c r="D176" s="3" t="s">
        <v>55</v>
      </c>
      <c r="E176" s="7">
        <v>3</v>
      </c>
      <c r="F176" s="7">
        <v>4</v>
      </c>
      <c r="G176" s="7">
        <v>4</v>
      </c>
      <c r="H176" s="7">
        <v>3</v>
      </c>
      <c r="I176" s="7">
        <v>4</v>
      </c>
      <c r="J176" s="6" t="s">
        <v>218</v>
      </c>
      <c r="K176" s="3" t="s">
        <v>27</v>
      </c>
    </row>
    <row r="177" spans="1:11">
      <c r="A177" s="3" t="s">
        <v>34</v>
      </c>
      <c r="B177" s="3" t="s">
        <v>26</v>
      </c>
      <c r="C177" s="3" t="s">
        <v>83</v>
      </c>
      <c r="D177" s="3" t="s">
        <v>55</v>
      </c>
      <c r="E177" s="7">
        <v>3</v>
      </c>
      <c r="F177" s="7">
        <v>4</v>
      </c>
      <c r="G177" s="7">
        <v>4</v>
      </c>
      <c r="H177" s="7">
        <v>3</v>
      </c>
      <c r="I177" s="7">
        <v>4</v>
      </c>
      <c r="J177" s="6"/>
      <c r="K177" s="3" t="s">
        <v>27</v>
      </c>
    </row>
    <row r="178" spans="1:11">
      <c r="A178" s="3" t="s">
        <v>34</v>
      </c>
      <c r="B178" s="3" t="s">
        <v>26</v>
      </c>
      <c r="C178" s="3" t="s">
        <v>87</v>
      </c>
      <c r="D178" s="3" t="s">
        <v>55</v>
      </c>
      <c r="E178" s="7">
        <v>4</v>
      </c>
      <c r="F178" s="7">
        <v>4</v>
      </c>
      <c r="G178" s="7">
        <v>4</v>
      </c>
      <c r="H178" s="7">
        <v>4</v>
      </c>
      <c r="I178" s="7">
        <v>4</v>
      </c>
      <c r="J178" s="6"/>
      <c r="K178" s="3" t="s">
        <v>27</v>
      </c>
    </row>
    <row r="179" spans="1:11">
      <c r="A179" s="3" t="s">
        <v>34</v>
      </c>
      <c r="B179" s="3" t="s">
        <v>26</v>
      </c>
      <c r="C179" s="3" t="s">
        <v>91</v>
      </c>
      <c r="D179" s="3" t="s">
        <v>55</v>
      </c>
      <c r="E179" s="7">
        <v>4</v>
      </c>
      <c r="F179" s="7">
        <v>3</v>
      </c>
      <c r="G179" s="7">
        <v>4</v>
      </c>
      <c r="H179" s="7">
        <v>4</v>
      </c>
      <c r="I179" s="7">
        <v>4</v>
      </c>
      <c r="J179" s="6"/>
      <c r="K179" s="3" t="s">
        <v>27</v>
      </c>
    </row>
    <row r="180" spans="1:11">
      <c r="A180" s="3" t="s">
        <v>34</v>
      </c>
      <c r="B180" s="3" t="s">
        <v>26</v>
      </c>
      <c r="C180" s="3" t="s">
        <v>94</v>
      </c>
      <c r="D180" s="3" t="s">
        <v>55</v>
      </c>
      <c r="E180" s="7">
        <v>4</v>
      </c>
      <c r="F180" s="7">
        <v>4</v>
      </c>
      <c r="G180" s="7">
        <v>4</v>
      </c>
      <c r="H180" s="7">
        <v>4</v>
      </c>
      <c r="I180" s="7">
        <v>4</v>
      </c>
      <c r="J180" s="6"/>
      <c r="K180" s="3" t="s">
        <v>27</v>
      </c>
    </row>
    <row r="181" spans="1:11">
      <c r="A181" s="3" t="s">
        <v>34</v>
      </c>
      <c r="B181" s="3" t="s">
        <v>26</v>
      </c>
      <c r="C181" s="3" t="s">
        <v>97</v>
      </c>
      <c r="D181" s="3" t="s">
        <v>55</v>
      </c>
      <c r="E181" s="7">
        <v>3</v>
      </c>
      <c r="F181" s="7">
        <v>3</v>
      </c>
      <c r="G181" s="7">
        <v>4</v>
      </c>
      <c r="H181" s="7">
        <v>3</v>
      </c>
      <c r="I181" s="7">
        <v>4</v>
      </c>
      <c r="J181" s="6"/>
      <c r="K181" s="3" t="s">
        <v>27</v>
      </c>
    </row>
    <row r="182" spans="1:11">
      <c r="A182" s="3" t="s">
        <v>34</v>
      </c>
      <c r="B182" s="3" t="s">
        <v>26</v>
      </c>
      <c r="C182" s="3" t="s">
        <v>100</v>
      </c>
      <c r="D182" s="3" t="s">
        <v>55</v>
      </c>
      <c r="E182" s="7">
        <v>4</v>
      </c>
      <c r="F182" s="7">
        <v>3</v>
      </c>
      <c r="G182" s="7">
        <v>3</v>
      </c>
      <c r="H182" s="7">
        <v>3</v>
      </c>
      <c r="I182" s="7">
        <v>4</v>
      </c>
      <c r="J182" s="6" t="s">
        <v>219</v>
      </c>
      <c r="K182" s="3" t="s">
        <v>27</v>
      </c>
    </row>
    <row r="183" spans="1:11">
      <c r="A183" s="3" t="s">
        <v>34</v>
      </c>
      <c r="B183" s="3" t="s">
        <v>26</v>
      </c>
      <c r="C183" s="3" t="s">
        <v>103</v>
      </c>
      <c r="D183" s="3" t="s">
        <v>55</v>
      </c>
      <c r="E183" s="7">
        <v>3</v>
      </c>
      <c r="F183" s="7">
        <v>4</v>
      </c>
      <c r="G183" s="7">
        <v>3</v>
      </c>
      <c r="H183" s="7">
        <v>3</v>
      </c>
      <c r="I183" s="7">
        <v>3</v>
      </c>
      <c r="J183" s="6" t="s">
        <v>220</v>
      </c>
      <c r="K183" s="3" t="s">
        <v>27</v>
      </c>
    </row>
    <row r="184" spans="1:11">
      <c r="A184" s="3" t="s">
        <v>34</v>
      </c>
      <c r="B184" s="3" t="s">
        <v>26</v>
      </c>
      <c r="C184" s="3" t="s">
        <v>106</v>
      </c>
      <c r="D184" s="3" t="s">
        <v>55</v>
      </c>
      <c r="E184" s="7">
        <v>4</v>
      </c>
      <c r="F184" s="7">
        <v>4</v>
      </c>
      <c r="G184" s="7">
        <v>4</v>
      </c>
      <c r="H184" s="7">
        <v>4</v>
      </c>
      <c r="I184" s="7">
        <v>4</v>
      </c>
      <c r="J184" s="6"/>
      <c r="K184" s="3" t="s">
        <v>27</v>
      </c>
    </row>
    <row r="185" spans="1:11">
      <c r="A185" s="3" t="s">
        <v>34</v>
      </c>
      <c r="B185" s="3" t="s">
        <v>26</v>
      </c>
      <c r="C185" s="3" t="s">
        <v>109</v>
      </c>
      <c r="D185" s="3" t="s">
        <v>55</v>
      </c>
      <c r="E185" s="7">
        <v>4</v>
      </c>
      <c r="F185" s="7">
        <v>4</v>
      </c>
      <c r="G185" s="7">
        <v>4</v>
      </c>
      <c r="H185" s="7">
        <v>4</v>
      </c>
      <c r="I185" s="7">
        <v>4</v>
      </c>
      <c r="J185" s="6"/>
      <c r="K185" s="3" t="s">
        <v>27</v>
      </c>
    </row>
    <row r="186" spans="1:11">
      <c r="A186" s="3" t="s">
        <v>34</v>
      </c>
      <c r="B186" s="3" t="s">
        <v>26</v>
      </c>
      <c r="C186" s="3" t="s">
        <v>113</v>
      </c>
      <c r="D186" s="3" t="s">
        <v>55</v>
      </c>
      <c r="E186" s="7">
        <v>3</v>
      </c>
      <c r="F186" s="7">
        <v>4</v>
      </c>
      <c r="G186" s="7">
        <v>4</v>
      </c>
      <c r="H186" s="7">
        <v>3</v>
      </c>
      <c r="I186" s="7">
        <v>3</v>
      </c>
      <c r="J186" s="6"/>
      <c r="K186" s="3" t="s">
        <v>27</v>
      </c>
    </row>
    <row r="187" spans="1:11">
      <c r="A187" s="3" t="s">
        <v>34</v>
      </c>
      <c r="B187" s="3" t="s">
        <v>26</v>
      </c>
      <c r="C187" s="3" t="s">
        <v>116</v>
      </c>
      <c r="D187" s="3" t="s">
        <v>55</v>
      </c>
      <c r="E187" s="7">
        <v>4</v>
      </c>
      <c r="F187" s="7">
        <v>4</v>
      </c>
      <c r="G187" s="7">
        <v>4</v>
      </c>
      <c r="H187" s="7">
        <v>4</v>
      </c>
      <c r="I187" s="7">
        <v>4</v>
      </c>
      <c r="J187" s="6"/>
      <c r="K187" s="3" t="s">
        <v>27</v>
      </c>
    </row>
    <row r="188" spans="1:11">
      <c r="A188" s="3" t="s">
        <v>34</v>
      </c>
      <c r="B188" s="3" t="s">
        <v>26</v>
      </c>
      <c r="C188" s="3" t="s">
        <v>119</v>
      </c>
      <c r="D188" s="3" t="s">
        <v>55</v>
      </c>
      <c r="E188" s="7">
        <v>4</v>
      </c>
      <c r="F188" s="7">
        <v>3</v>
      </c>
      <c r="G188" s="7">
        <v>3</v>
      </c>
      <c r="H188" s="7">
        <v>2</v>
      </c>
      <c r="I188" s="7">
        <v>3</v>
      </c>
      <c r="J188" s="6"/>
      <c r="K188" s="3" t="s">
        <v>27</v>
      </c>
    </row>
    <row r="189" spans="1:11">
      <c r="A189" s="3" t="s">
        <v>34</v>
      </c>
      <c r="B189" s="3" t="s">
        <v>26</v>
      </c>
      <c r="C189" s="3" t="s">
        <v>122</v>
      </c>
      <c r="D189" s="3" t="s">
        <v>55</v>
      </c>
      <c r="E189" s="7">
        <v>3</v>
      </c>
      <c r="F189" s="7">
        <v>4</v>
      </c>
      <c r="G189" s="7">
        <v>4</v>
      </c>
      <c r="H189" s="7">
        <v>3</v>
      </c>
      <c r="I189" s="7">
        <v>4</v>
      </c>
      <c r="J189" s="6"/>
      <c r="K189" s="3" t="s">
        <v>27</v>
      </c>
    </row>
    <row r="190" spans="1:11">
      <c r="A190" s="3" t="s">
        <v>34</v>
      </c>
      <c r="B190" s="3" t="s">
        <v>26</v>
      </c>
      <c r="C190" s="3" t="s">
        <v>125</v>
      </c>
      <c r="D190" s="3" t="s">
        <v>126</v>
      </c>
      <c r="E190" s="7">
        <v>3</v>
      </c>
      <c r="F190" s="7">
        <v>4</v>
      </c>
      <c r="G190" s="7">
        <v>4</v>
      </c>
      <c r="H190" s="7">
        <v>3</v>
      </c>
      <c r="I190" s="7">
        <v>4</v>
      </c>
      <c r="J190" s="6"/>
      <c r="K190" s="3" t="s">
        <v>27</v>
      </c>
    </row>
    <row r="191" spans="1:11">
      <c r="A191" s="3" t="s">
        <v>34</v>
      </c>
      <c r="B191" s="3" t="s">
        <v>26</v>
      </c>
      <c r="C191" s="3" t="s">
        <v>132</v>
      </c>
      <c r="D191" s="3" t="s">
        <v>126</v>
      </c>
      <c r="E191" s="7">
        <v>4</v>
      </c>
      <c r="F191" s="7">
        <v>4</v>
      </c>
      <c r="G191" s="7">
        <v>4</v>
      </c>
      <c r="H191" s="7">
        <v>4</v>
      </c>
      <c r="I191" s="7">
        <v>3</v>
      </c>
      <c r="J191" s="6"/>
      <c r="K191" s="3" t="s">
        <v>27</v>
      </c>
    </row>
    <row r="192" spans="1:11">
      <c r="A192" s="3" t="s">
        <v>34</v>
      </c>
      <c r="B192" s="3" t="s">
        <v>26</v>
      </c>
      <c r="C192" s="3" t="s">
        <v>135</v>
      </c>
      <c r="D192" s="3" t="s">
        <v>126</v>
      </c>
      <c r="E192" s="7">
        <v>4</v>
      </c>
      <c r="F192" s="7">
        <v>4</v>
      </c>
      <c r="G192" s="7">
        <v>4</v>
      </c>
      <c r="H192" s="7">
        <v>4</v>
      </c>
      <c r="I192" s="7">
        <v>3</v>
      </c>
      <c r="J192" s="6"/>
      <c r="K192" s="3" t="s">
        <v>27</v>
      </c>
    </row>
    <row r="193" spans="1:11">
      <c r="A193" s="3" t="s">
        <v>34</v>
      </c>
      <c r="B193" s="3" t="s">
        <v>26</v>
      </c>
      <c r="C193" s="3" t="s">
        <v>138</v>
      </c>
      <c r="D193" s="3" t="s">
        <v>126</v>
      </c>
      <c r="E193" s="7">
        <v>4</v>
      </c>
      <c r="F193" s="7">
        <v>3</v>
      </c>
      <c r="G193" s="7">
        <v>4</v>
      </c>
      <c r="H193" s="7">
        <v>4</v>
      </c>
      <c r="I193" s="7">
        <v>4</v>
      </c>
      <c r="J193" s="6"/>
      <c r="K193" s="3" t="s">
        <v>27</v>
      </c>
    </row>
    <row r="194" spans="1:11">
      <c r="A194" s="3" t="s">
        <v>34</v>
      </c>
      <c r="B194" s="3" t="s">
        <v>26</v>
      </c>
      <c r="C194" s="3" t="s">
        <v>141</v>
      </c>
      <c r="D194" s="3" t="s">
        <v>126</v>
      </c>
      <c r="E194" s="7">
        <v>3</v>
      </c>
      <c r="F194" s="7">
        <v>4</v>
      </c>
      <c r="G194" s="7">
        <v>4</v>
      </c>
      <c r="H194" s="7">
        <v>3</v>
      </c>
      <c r="I194" s="7">
        <v>3</v>
      </c>
      <c r="J194" s="6" t="s">
        <v>221</v>
      </c>
      <c r="K194" s="3" t="s">
        <v>27</v>
      </c>
    </row>
    <row r="195" spans="1:11">
      <c r="A195" s="3" t="s">
        <v>34</v>
      </c>
      <c r="B195" s="3" t="s">
        <v>26</v>
      </c>
      <c r="C195" s="3" t="s">
        <v>144</v>
      </c>
      <c r="D195" s="3" t="s">
        <v>126</v>
      </c>
      <c r="E195" s="7">
        <v>4</v>
      </c>
      <c r="F195" s="7">
        <v>3</v>
      </c>
      <c r="G195" s="7">
        <v>4</v>
      </c>
      <c r="H195" s="7">
        <v>3</v>
      </c>
      <c r="I195" s="7">
        <v>3</v>
      </c>
      <c r="J195" s="6"/>
      <c r="K195" s="3" t="s">
        <v>27</v>
      </c>
    </row>
    <row r="196" spans="1:11">
      <c r="A196" s="3" t="s">
        <v>34</v>
      </c>
      <c r="B196" s="3" t="s">
        <v>26</v>
      </c>
      <c r="C196" s="3" t="s">
        <v>147</v>
      </c>
      <c r="D196" s="3" t="s">
        <v>126</v>
      </c>
      <c r="E196" s="7">
        <v>4</v>
      </c>
      <c r="F196" s="7">
        <v>3</v>
      </c>
      <c r="G196" s="7">
        <v>3</v>
      </c>
      <c r="H196" s="7">
        <v>3</v>
      </c>
      <c r="I196" s="7">
        <v>4</v>
      </c>
      <c r="J196" s="6"/>
      <c r="K196" s="3" t="s">
        <v>27</v>
      </c>
    </row>
    <row r="197" spans="1:11">
      <c r="A197" s="3" t="s">
        <v>34</v>
      </c>
      <c r="B197" s="3" t="s">
        <v>26</v>
      </c>
      <c r="C197" s="3" t="s">
        <v>150</v>
      </c>
      <c r="D197" s="3" t="s">
        <v>126</v>
      </c>
      <c r="E197" s="7">
        <v>4</v>
      </c>
      <c r="F197" s="7">
        <v>4</v>
      </c>
      <c r="G197" s="7">
        <v>3</v>
      </c>
      <c r="H197" s="7">
        <v>3</v>
      </c>
      <c r="I197" s="7">
        <v>4</v>
      </c>
      <c r="J197" s="6"/>
      <c r="K197" s="3" t="s">
        <v>27</v>
      </c>
    </row>
    <row r="198" spans="1:11">
      <c r="A198" s="3" t="s">
        <v>34</v>
      </c>
      <c r="B198" s="3" t="s">
        <v>26</v>
      </c>
      <c r="C198" s="3" t="s">
        <v>153</v>
      </c>
      <c r="D198" s="3" t="s">
        <v>126</v>
      </c>
      <c r="E198" s="7">
        <v>4</v>
      </c>
      <c r="F198" s="7">
        <v>4</v>
      </c>
      <c r="G198" s="7">
        <v>3</v>
      </c>
      <c r="H198" s="7">
        <v>4</v>
      </c>
      <c r="I198" s="7">
        <v>3</v>
      </c>
      <c r="J198" s="6"/>
      <c r="K198" s="3" t="s">
        <v>27</v>
      </c>
    </row>
    <row r="199" spans="1:11">
      <c r="A199" s="3" t="s">
        <v>34</v>
      </c>
      <c r="B199" s="3" t="s">
        <v>26</v>
      </c>
      <c r="C199" s="3" t="s">
        <v>156</v>
      </c>
      <c r="D199" s="3" t="s">
        <v>157</v>
      </c>
      <c r="E199" s="7">
        <v>3</v>
      </c>
      <c r="F199" s="7">
        <v>3</v>
      </c>
      <c r="G199" s="7">
        <v>4</v>
      </c>
      <c r="H199" s="7">
        <v>4</v>
      </c>
      <c r="I199" s="7">
        <v>4</v>
      </c>
      <c r="J199" s="6"/>
      <c r="K199" s="3" t="s">
        <v>27</v>
      </c>
    </row>
    <row r="200" spans="1:11">
      <c r="A200" s="3" t="s">
        <v>34</v>
      </c>
      <c r="B200" s="3" t="s">
        <v>26</v>
      </c>
      <c r="C200" s="3" t="s">
        <v>162</v>
      </c>
      <c r="D200" s="3" t="s">
        <v>157</v>
      </c>
      <c r="E200" s="7">
        <v>4</v>
      </c>
      <c r="F200" s="7">
        <v>4</v>
      </c>
      <c r="G200" s="7">
        <v>4</v>
      </c>
      <c r="H200" s="7">
        <v>4</v>
      </c>
      <c r="I200" s="7">
        <v>4</v>
      </c>
      <c r="J200" s="6"/>
      <c r="K200" s="3" t="s">
        <v>27</v>
      </c>
    </row>
    <row r="201" spans="1:11">
      <c r="A201" s="3" t="s">
        <v>34</v>
      </c>
      <c r="B201" s="3" t="s">
        <v>26</v>
      </c>
      <c r="C201" s="3" t="s">
        <v>165</v>
      </c>
      <c r="D201" s="3" t="s">
        <v>157</v>
      </c>
      <c r="E201" s="7">
        <v>3</v>
      </c>
      <c r="F201" s="7">
        <v>4</v>
      </c>
      <c r="G201" s="7">
        <v>4</v>
      </c>
      <c r="H201" s="7">
        <v>3</v>
      </c>
      <c r="I201" s="7">
        <v>4</v>
      </c>
      <c r="J201" s="6" t="s">
        <v>222</v>
      </c>
      <c r="K201" s="3" t="s">
        <v>27</v>
      </c>
    </row>
    <row r="202" spans="1:11">
      <c r="A202" s="3" t="s">
        <v>34</v>
      </c>
      <c r="B202" s="3" t="s">
        <v>26</v>
      </c>
      <c r="C202" s="3" t="s">
        <v>168</v>
      </c>
      <c r="D202" s="3" t="s">
        <v>157</v>
      </c>
      <c r="E202" s="7">
        <v>4</v>
      </c>
      <c r="F202" s="7">
        <v>3</v>
      </c>
      <c r="G202" s="7">
        <v>3</v>
      </c>
      <c r="H202" s="7">
        <v>2</v>
      </c>
      <c r="I202" s="7">
        <v>4</v>
      </c>
      <c r="J202" s="6"/>
      <c r="K202" s="3" t="s">
        <v>27</v>
      </c>
    </row>
    <row r="203" spans="1:11">
      <c r="A203" s="3" t="s">
        <v>34</v>
      </c>
      <c r="B203" s="3" t="s">
        <v>26</v>
      </c>
      <c r="C203" s="3" t="s">
        <v>25</v>
      </c>
      <c r="D203" s="3" t="s">
        <v>171</v>
      </c>
      <c r="E203" s="7">
        <v>4</v>
      </c>
      <c r="F203" s="7">
        <v>4</v>
      </c>
      <c r="G203" s="7">
        <v>4</v>
      </c>
      <c r="H203" s="7">
        <v>4</v>
      </c>
      <c r="I203" s="7">
        <v>4</v>
      </c>
      <c r="J203" s="6"/>
      <c r="K203" s="3" t="s">
        <v>27</v>
      </c>
    </row>
    <row r="204" spans="1:11">
      <c r="A204" s="3" t="s">
        <v>34</v>
      </c>
      <c r="B204" s="3" t="s">
        <v>26</v>
      </c>
      <c r="C204" s="3" t="s">
        <v>31</v>
      </c>
      <c r="D204" s="3" t="s">
        <v>171</v>
      </c>
      <c r="E204" s="7">
        <v>4</v>
      </c>
      <c r="F204" s="7">
        <v>4</v>
      </c>
      <c r="G204" s="7">
        <v>3</v>
      </c>
      <c r="H204" s="7">
        <v>3</v>
      </c>
      <c r="I204" s="7">
        <v>4</v>
      </c>
      <c r="J204" s="6"/>
      <c r="K204" s="3" t="s">
        <v>27</v>
      </c>
    </row>
    <row r="205" spans="1:11">
      <c r="A205" s="3" t="s">
        <v>34</v>
      </c>
      <c r="B205" s="3" t="s">
        <v>26</v>
      </c>
      <c r="C205" s="3" t="s">
        <v>32</v>
      </c>
      <c r="D205" s="3" t="s">
        <v>171</v>
      </c>
      <c r="E205" s="7">
        <v>4</v>
      </c>
      <c r="F205" s="7">
        <v>4</v>
      </c>
      <c r="G205" s="7">
        <v>3</v>
      </c>
      <c r="H205" s="7">
        <v>3</v>
      </c>
      <c r="I205" s="7">
        <v>4</v>
      </c>
      <c r="J205" s="6"/>
      <c r="K205" s="3" t="s">
        <v>27</v>
      </c>
    </row>
    <row r="206" spans="1:11">
      <c r="A206" s="3" t="s">
        <v>34</v>
      </c>
      <c r="B206" s="3" t="s">
        <v>26</v>
      </c>
      <c r="C206" s="3" t="s">
        <v>33</v>
      </c>
      <c r="D206" s="3" t="s">
        <v>171</v>
      </c>
      <c r="E206" s="7">
        <v>4</v>
      </c>
      <c r="F206" s="7">
        <v>3</v>
      </c>
      <c r="G206" s="7">
        <v>4</v>
      </c>
      <c r="H206" s="7">
        <v>4</v>
      </c>
      <c r="I206" s="7">
        <v>4</v>
      </c>
      <c r="J206" s="6"/>
      <c r="K206" s="3" t="s">
        <v>27</v>
      </c>
    </row>
    <row r="207" spans="1:11">
      <c r="A207" s="3" t="s">
        <v>34</v>
      </c>
      <c r="B207" s="3" t="s">
        <v>26</v>
      </c>
      <c r="C207" s="3" t="s">
        <v>34</v>
      </c>
      <c r="D207" s="3" t="s">
        <v>171</v>
      </c>
      <c r="E207" s="7">
        <v>4</v>
      </c>
      <c r="F207" s="7">
        <v>4</v>
      </c>
      <c r="G207" s="7">
        <v>4</v>
      </c>
      <c r="H207" s="7">
        <v>4</v>
      </c>
      <c r="I207" s="7">
        <v>3</v>
      </c>
      <c r="J207" s="6"/>
      <c r="K207" s="3" t="s">
        <v>27</v>
      </c>
    </row>
    <row r="208" spans="1:11">
      <c r="A208" s="3" t="s">
        <v>34</v>
      </c>
      <c r="B208" s="3" t="s">
        <v>26</v>
      </c>
      <c r="C208" s="3" t="s">
        <v>35</v>
      </c>
      <c r="D208" s="3" t="s">
        <v>171</v>
      </c>
      <c r="E208" s="7">
        <v>3</v>
      </c>
      <c r="F208" s="7">
        <v>4</v>
      </c>
      <c r="G208" s="7">
        <v>4</v>
      </c>
      <c r="H208" s="7">
        <v>3</v>
      </c>
      <c r="I208" s="7">
        <v>3</v>
      </c>
      <c r="J208" s="6"/>
      <c r="K208" s="3" t="s">
        <v>27</v>
      </c>
    </row>
    <row r="209" spans="1:11">
      <c r="A209" s="3" t="s">
        <v>34</v>
      </c>
      <c r="B209" s="3" t="s">
        <v>26</v>
      </c>
      <c r="C209" s="3" t="s">
        <v>186</v>
      </c>
      <c r="D209" s="3" t="s">
        <v>171</v>
      </c>
      <c r="E209" s="7">
        <v>3</v>
      </c>
      <c r="F209" s="7">
        <v>4</v>
      </c>
      <c r="G209" s="7">
        <v>3</v>
      </c>
      <c r="H209" s="7">
        <v>3</v>
      </c>
      <c r="I209" s="7">
        <v>4</v>
      </c>
      <c r="J209" s="6"/>
      <c r="K209" s="3" t="s">
        <v>27</v>
      </c>
    </row>
    <row r="210" spans="1:11">
      <c r="A210" s="3" t="s">
        <v>34</v>
      </c>
      <c r="B210" s="3" t="s">
        <v>26</v>
      </c>
      <c r="C210" s="3" t="s">
        <v>189</v>
      </c>
      <c r="D210" s="3" t="s">
        <v>171</v>
      </c>
      <c r="E210" s="7">
        <v>3</v>
      </c>
      <c r="F210" s="7">
        <v>4</v>
      </c>
      <c r="G210" s="7">
        <v>4</v>
      </c>
      <c r="H210" s="7">
        <v>3</v>
      </c>
      <c r="I210" s="7">
        <v>4</v>
      </c>
      <c r="J210" s="6"/>
      <c r="K210" s="3" t="s">
        <v>27</v>
      </c>
    </row>
    <row r="211" spans="1:11">
      <c r="A211" s="3" t="s">
        <v>34</v>
      </c>
      <c r="B211" s="3" t="s">
        <v>26</v>
      </c>
      <c r="C211" s="3" t="s">
        <v>192</v>
      </c>
      <c r="D211" s="3" t="s">
        <v>171</v>
      </c>
      <c r="E211" s="7">
        <v>4</v>
      </c>
      <c r="F211" s="7">
        <v>3</v>
      </c>
      <c r="G211" s="7">
        <v>3</v>
      </c>
      <c r="H211" s="7">
        <v>4</v>
      </c>
      <c r="I211" s="7">
        <v>4</v>
      </c>
      <c r="J211" s="6"/>
      <c r="K211" s="3" t="s">
        <v>27</v>
      </c>
    </row>
    <row r="212" spans="1:11">
      <c r="A212" s="3" t="s">
        <v>35</v>
      </c>
      <c r="B212" s="3" t="s">
        <v>26</v>
      </c>
      <c r="C212" s="3" t="s">
        <v>54</v>
      </c>
      <c r="D212" s="3" t="s">
        <v>55</v>
      </c>
      <c r="E212" s="7">
        <v>4</v>
      </c>
      <c r="F212" s="7">
        <v>4</v>
      </c>
      <c r="G212" s="7">
        <v>4</v>
      </c>
      <c r="H212" s="7">
        <v>4</v>
      </c>
      <c r="I212" s="7">
        <v>4</v>
      </c>
      <c r="J212" s="6" t="s">
        <v>223</v>
      </c>
      <c r="K212" s="3" t="s">
        <v>27</v>
      </c>
    </row>
    <row r="213" spans="1:11">
      <c r="A213" s="3" t="s">
        <v>35</v>
      </c>
      <c r="B213" s="3" t="s">
        <v>26</v>
      </c>
      <c r="C213" s="3" t="s">
        <v>64</v>
      </c>
      <c r="D213" s="3" t="s">
        <v>55</v>
      </c>
      <c r="E213" s="7">
        <v>4</v>
      </c>
      <c r="F213" s="7">
        <v>3</v>
      </c>
      <c r="G213" s="7">
        <v>4</v>
      </c>
      <c r="H213" s="7">
        <v>4</v>
      </c>
      <c r="I213" s="7">
        <v>3</v>
      </c>
      <c r="J213" s="6"/>
      <c r="K213" s="3" t="s">
        <v>27</v>
      </c>
    </row>
    <row r="214" spans="1:11">
      <c r="A214" s="3" t="s">
        <v>35</v>
      </c>
      <c r="B214" s="3" t="s">
        <v>26</v>
      </c>
      <c r="C214" s="3" t="s">
        <v>67</v>
      </c>
      <c r="D214" s="3" t="s">
        <v>55</v>
      </c>
      <c r="E214" s="7">
        <v>4</v>
      </c>
      <c r="F214" s="7">
        <v>4</v>
      </c>
      <c r="G214" s="7">
        <v>3</v>
      </c>
      <c r="H214" s="7">
        <v>4</v>
      </c>
      <c r="I214" s="7">
        <v>3</v>
      </c>
      <c r="J214" s="6"/>
      <c r="K214" s="3" t="s">
        <v>27</v>
      </c>
    </row>
    <row r="215" spans="1:11">
      <c r="A215" s="3" t="s">
        <v>35</v>
      </c>
      <c r="B215" s="3" t="s">
        <v>26</v>
      </c>
      <c r="C215" s="3" t="s">
        <v>70</v>
      </c>
      <c r="D215" s="3" t="s">
        <v>55</v>
      </c>
      <c r="E215" s="7">
        <v>3</v>
      </c>
      <c r="F215" s="7">
        <v>3</v>
      </c>
      <c r="G215" s="7">
        <v>4</v>
      </c>
      <c r="H215" s="7">
        <v>3</v>
      </c>
      <c r="I215" s="7">
        <v>4</v>
      </c>
      <c r="J215" s="6"/>
      <c r="K215" s="3" t="s">
        <v>27</v>
      </c>
    </row>
    <row r="216" spans="1:11">
      <c r="A216" s="3" t="s">
        <v>35</v>
      </c>
      <c r="B216" s="3" t="s">
        <v>26</v>
      </c>
      <c r="C216" s="3" t="s">
        <v>74</v>
      </c>
      <c r="D216" s="3" t="s">
        <v>55</v>
      </c>
      <c r="E216" s="7">
        <v>4</v>
      </c>
      <c r="F216" s="7">
        <v>4</v>
      </c>
      <c r="G216" s="7">
        <v>4</v>
      </c>
      <c r="H216" s="7">
        <v>4</v>
      </c>
      <c r="I216" s="7">
        <v>4</v>
      </c>
      <c r="J216" s="6"/>
      <c r="K216" s="3" t="s">
        <v>27</v>
      </c>
    </row>
    <row r="217" spans="1:11">
      <c r="A217" s="3" t="s">
        <v>35</v>
      </c>
      <c r="B217" s="3" t="s">
        <v>26</v>
      </c>
      <c r="C217" s="3" t="s">
        <v>77</v>
      </c>
      <c r="D217" s="3" t="s">
        <v>55</v>
      </c>
      <c r="E217" s="7">
        <v>4</v>
      </c>
      <c r="F217" s="7">
        <v>3</v>
      </c>
      <c r="G217" s="7">
        <v>4</v>
      </c>
      <c r="H217" s="7">
        <v>4</v>
      </c>
      <c r="I217" s="7">
        <v>4</v>
      </c>
      <c r="J217" s="6"/>
      <c r="K217" s="3" t="s">
        <v>27</v>
      </c>
    </row>
    <row r="218" spans="1:11">
      <c r="A218" s="3" t="s">
        <v>35</v>
      </c>
      <c r="B218" s="3" t="s">
        <v>26</v>
      </c>
      <c r="C218" s="3" t="s">
        <v>80</v>
      </c>
      <c r="D218" s="3" t="s">
        <v>55</v>
      </c>
      <c r="E218" s="7">
        <v>3</v>
      </c>
      <c r="F218" s="7">
        <v>4</v>
      </c>
      <c r="G218" s="7">
        <v>3</v>
      </c>
      <c r="H218" s="7">
        <v>3</v>
      </c>
      <c r="I218" s="7">
        <v>3</v>
      </c>
      <c r="J218" s="6"/>
      <c r="K218" s="3" t="s">
        <v>27</v>
      </c>
    </row>
    <row r="219" spans="1:11">
      <c r="A219" s="3" t="s">
        <v>35</v>
      </c>
      <c r="B219" s="3" t="s">
        <v>26</v>
      </c>
      <c r="C219" s="3" t="s">
        <v>83</v>
      </c>
      <c r="D219" s="3" t="s">
        <v>55</v>
      </c>
      <c r="E219" s="7">
        <v>3</v>
      </c>
      <c r="F219" s="7">
        <v>4</v>
      </c>
      <c r="G219" s="7">
        <v>3</v>
      </c>
      <c r="H219" s="7">
        <v>3</v>
      </c>
      <c r="I219" s="7">
        <v>3</v>
      </c>
      <c r="J219" s="6"/>
      <c r="K219" s="3" t="s">
        <v>27</v>
      </c>
    </row>
    <row r="220" spans="1:11">
      <c r="A220" s="3" t="s">
        <v>35</v>
      </c>
      <c r="B220" s="3" t="s">
        <v>26</v>
      </c>
      <c r="C220" s="3" t="s">
        <v>87</v>
      </c>
      <c r="D220" s="3" t="s">
        <v>55</v>
      </c>
      <c r="E220" s="7">
        <v>4</v>
      </c>
      <c r="F220" s="7">
        <v>3</v>
      </c>
      <c r="G220" s="7">
        <v>4</v>
      </c>
      <c r="H220" s="7">
        <v>4</v>
      </c>
      <c r="I220" s="7">
        <v>4</v>
      </c>
      <c r="J220" s="6"/>
      <c r="K220" s="3" t="s">
        <v>27</v>
      </c>
    </row>
    <row r="221" spans="1:11">
      <c r="A221" s="3" t="s">
        <v>35</v>
      </c>
      <c r="B221" s="3" t="s">
        <v>26</v>
      </c>
      <c r="C221" s="3" t="s">
        <v>91</v>
      </c>
      <c r="D221" s="3" t="s">
        <v>55</v>
      </c>
      <c r="E221" s="7">
        <v>4</v>
      </c>
      <c r="F221" s="7">
        <v>4</v>
      </c>
      <c r="G221" s="7">
        <v>4</v>
      </c>
      <c r="H221" s="7">
        <v>4</v>
      </c>
      <c r="I221" s="7">
        <v>4</v>
      </c>
      <c r="J221" s="6"/>
      <c r="K221" s="3" t="s">
        <v>27</v>
      </c>
    </row>
    <row r="222" spans="1:11">
      <c r="A222" s="3" t="s">
        <v>35</v>
      </c>
      <c r="B222" s="3" t="s">
        <v>26</v>
      </c>
      <c r="C222" s="3" t="s">
        <v>94</v>
      </c>
      <c r="D222" s="3" t="s">
        <v>55</v>
      </c>
      <c r="E222" s="7">
        <v>4</v>
      </c>
      <c r="F222" s="7">
        <v>4</v>
      </c>
      <c r="G222" s="7">
        <v>4</v>
      </c>
      <c r="H222" s="7">
        <v>4</v>
      </c>
      <c r="I222" s="7">
        <v>4</v>
      </c>
      <c r="J222" s="6"/>
      <c r="K222" s="3" t="s">
        <v>27</v>
      </c>
    </row>
    <row r="223" spans="1:11">
      <c r="A223" s="3" t="s">
        <v>35</v>
      </c>
      <c r="B223" s="3" t="s">
        <v>26</v>
      </c>
      <c r="C223" s="3" t="s">
        <v>97</v>
      </c>
      <c r="D223" s="3" t="s">
        <v>55</v>
      </c>
      <c r="E223" s="7">
        <v>3</v>
      </c>
      <c r="F223" s="7">
        <v>4</v>
      </c>
      <c r="G223" s="7">
        <v>4</v>
      </c>
      <c r="H223" s="7">
        <v>3</v>
      </c>
      <c r="I223" s="7">
        <v>4</v>
      </c>
      <c r="J223" s="6"/>
      <c r="K223" s="3" t="s">
        <v>27</v>
      </c>
    </row>
    <row r="224" spans="1:11">
      <c r="A224" s="3" t="s">
        <v>35</v>
      </c>
      <c r="B224" s="3" t="s">
        <v>26</v>
      </c>
      <c r="C224" s="3" t="s">
        <v>100</v>
      </c>
      <c r="D224" s="3" t="s">
        <v>55</v>
      </c>
      <c r="E224" s="7">
        <v>4</v>
      </c>
      <c r="F224" s="7">
        <v>3</v>
      </c>
      <c r="G224" s="7">
        <v>4</v>
      </c>
      <c r="H224" s="7">
        <v>3</v>
      </c>
      <c r="I224" s="7">
        <v>4</v>
      </c>
      <c r="J224" s="6"/>
      <c r="K224" s="3" t="s">
        <v>27</v>
      </c>
    </row>
    <row r="225" spans="1:11">
      <c r="A225" s="3" t="s">
        <v>35</v>
      </c>
      <c r="B225" s="3" t="s">
        <v>26</v>
      </c>
      <c r="C225" s="3" t="s">
        <v>103</v>
      </c>
      <c r="D225" s="3" t="s">
        <v>55</v>
      </c>
      <c r="E225" s="7">
        <v>4</v>
      </c>
      <c r="F225" s="7">
        <v>3</v>
      </c>
      <c r="G225" s="7">
        <v>3</v>
      </c>
      <c r="H225" s="7">
        <v>4</v>
      </c>
      <c r="I225" s="7">
        <v>4</v>
      </c>
      <c r="J225" s="6"/>
      <c r="K225" s="3" t="s">
        <v>27</v>
      </c>
    </row>
    <row r="226" spans="1:11">
      <c r="A226" s="3" t="s">
        <v>35</v>
      </c>
      <c r="B226" s="3" t="s">
        <v>26</v>
      </c>
      <c r="C226" s="3" t="s">
        <v>106</v>
      </c>
      <c r="D226" s="3" t="s">
        <v>55</v>
      </c>
      <c r="E226" s="7">
        <v>4</v>
      </c>
      <c r="F226" s="7">
        <v>4</v>
      </c>
      <c r="G226" s="7">
        <v>4</v>
      </c>
      <c r="H226" s="7">
        <v>4</v>
      </c>
      <c r="I226" s="7">
        <v>3</v>
      </c>
      <c r="J226" s="6"/>
      <c r="K226" s="3" t="s">
        <v>27</v>
      </c>
    </row>
    <row r="227" spans="1:11">
      <c r="A227" s="3" t="s">
        <v>35</v>
      </c>
      <c r="B227" s="3" t="s">
        <v>26</v>
      </c>
      <c r="C227" s="3" t="s">
        <v>109</v>
      </c>
      <c r="D227" s="3" t="s">
        <v>55</v>
      </c>
      <c r="E227" s="7">
        <v>4</v>
      </c>
      <c r="F227" s="7">
        <v>4</v>
      </c>
      <c r="G227" s="7">
        <v>4</v>
      </c>
      <c r="H227" s="7">
        <v>4</v>
      </c>
      <c r="I227" s="7">
        <v>3</v>
      </c>
      <c r="J227" s="6"/>
      <c r="K227" s="3" t="s">
        <v>27</v>
      </c>
    </row>
    <row r="228" spans="1:11">
      <c r="A228" s="3" t="s">
        <v>35</v>
      </c>
      <c r="B228" s="3" t="s">
        <v>26</v>
      </c>
      <c r="C228" s="3" t="s">
        <v>113</v>
      </c>
      <c r="D228" s="3" t="s">
        <v>55</v>
      </c>
      <c r="E228" s="7">
        <v>4</v>
      </c>
      <c r="F228" s="7">
        <v>4</v>
      </c>
      <c r="G228" s="7">
        <v>3</v>
      </c>
      <c r="H228" s="7">
        <v>3</v>
      </c>
      <c r="I228" s="7">
        <v>3</v>
      </c>
      <c r="J228" s="6"/>
      <c r="K228" s="3" t="s">
        <v>27</v>
      </c>
    </row>
    <row r="229" spans="1:11">
      <c r="A229" s="3" t="s">
        <v>35</v>
      </c>
      <c r="B229" s="3" t="s">
        <v>26</v>
      </c>
      <c r="C229" s="3" t="s">
        <v>116</v>
      </c>
      <c r="D229" s="3" t="s">
        <v>55</v>
      </c>
      <c r="E229" s="7">
        <v>4</v>
      </c>
      <c r="F229" s="7">
        <v>4</v>
      </c>
      <c r="G229" s="7">
        <v>4</v>
      </c>
      <c r="H229" s="7">
        <v>4</v>
      </c>
      <c r="I229" s="7">
        <v>4</v>
      </c>
      <c r="J229" s="6" t="s">
        <v>224</v>
      </c>
      <c r="K229" s="3" t="s">
        <v>27</v>
      </c>
    </row>
    <row r="230" spans="1:11">
      <c r="A230" s="3" t="s">
        <v>35</v>
      </c>
      <c r="B230" s="3" t="s">
        <v>26</v>
      </c>
      <c r="C230" s="3" t="s">
        <v>119</v>
      </c>
      <c r="D230" s="3" t="s">
        <v>55</v>
      </c>
      <c r="E230" s="7">
        <v>4</v>
      </c>
      <c r="F230" s="7">
        <v>4</v>
      </c>
      <c r="G230" s="7">
        <v>3</v>
      </c>
      <c r="H230" s="7">
        <v>3</v>
      </c>
      <c r="I230" s="7">
        <v>3</v>
      </c>
      <c r="J230" s="6"/>
      <c r="K230" s="3" t="s">
        <v>27</v>
      </c>
    </row>
    <row r="231" spans="1:11">
      <c r="A231" s="3" t="s">
        <v>35</v>
      </c>
      <c r="B231" s="3" t="s">
        <v>26</v>
      </c>
      <c r="C231" s="3" t="s">
        <v>122</v>
      </c>
      <c r="D231" s="3" t="s">
        <v>55</v>
      </c>
      <c r="E231" s="7">
        <v>3</v>
      </c>
      <c r="F231" s="7">
        <v>4</v>
      </c>
      <c r="G231" s="7">
        <v>4</v>
      </c>
      <c r="H231" s="7">
        <v>3</v>
      </c>
      <c r="I231" s="7">
        <v>4</v>
      </c>
      <c r="J231" s="6" t="s">
        <v>225</v>
      </c>
      <c r="K231" s="3" t="s">
        <v>27</v>
      </c>
    </row>
    <row r="232" spans="1:11">
      <c r="A232" s="3" t="s">
        <v>35</v>
      </c>
      <c r="B232" s="3" t="s">
        <v>26</v>
      </c>
      <c r="C232" s="3" t="s">
        <v>125</v>
      </c>
      <c r="D232" s="3" t="s">
        <v>126</v>
      </c>
      <c r="E232" s="7">
        <v>4</v>
      </c>
      <c r="F232" s="7">
        <v>4</v>
      </c>
      <c r="G232" s="7">
        <v>3</v>
      </c>
      <c r="H232" s="7">
        <v>3</v>
      </c>
      <c r="I232" s="7">
        <v>3</v>
      </c>
      <c r="J232" s="6"/>
      <c r="K232" s="3" t="s">
        <v>27</v>
      </c>
    </row>
    <row r="233" spans="1:11">
      <c r="A233" s="3" t="s">
        <v>35</v>
      </c>
      <c r="B233" s="3" t="s">
        <v>26</v>
      </c>
      <c r="C233" s="3" t="s">
        <v>132</v>
      </c>
      <c r="D233" s="3" t="s">
        <v>126</v>
      </c>
      <c r="E233" s="7">
        <v>4</v>
      </c>
      <c r="F233" s="7">
        <v>4</v>
      </c>
      <c r="G233" s="7">
        <v>4</v>
      </c>
      <c r="H233" s="7">
        <v>4</v>
      </c>
      <c r="I233" s="7">
        <v>4</v>
      </c>
      <c r="J233" s="6"/>
      <c r="K233" s="3" t="s">
        <v>27</v>
      </c>
    </row>
    <row r="234" spans="1:11">
      <c r="A234" s="3" t="s">
        <v>35</v>
      </c>
      <c r="B234" s="3" t="s">
        <v>26</v>
      </c>
      <c r="C234" s="3" t="s">
        <v>135</v>
      </c>
      <c r="D234" s="3" t="s">
        <v>126</v>
      </c>
      <c r="E234" s="7">
        <v>4</v>
      </c>
      <c r="F234" s="7">
        <v>4</v>
      </c>
      <c r="G234" s="7">
        <v>4</v>
      </c>
      <c r="H234" s="7">
        <v>4</v>
      </c>
      <c r="I234" s="7">
        <v>4</v>
      </c>
      <c r="J234" s="6"/>
      <c r="K234" s="3" t="s">
        <v>27</v>
      </c>
    </row>
    <row r="235" spans="1:11">
      <c r="A235" s="3" t="s">
        <v>35</v>
      </c>
      <c r="B235" s="3" t="s">
        <v>26</v>
      </c>
      <c r="C235" s="3" t="s">
        <v>138</v>
      </c>
      <c r="D235" s="3" t="s">
        <v>126</v>
      </c>
      <c r="E235" s="7">
        <v>4</v>
      </c>
      <c r="F235" s="7">
        <v>3</v>
      </c>
      <c r="G235" s="7">
        <v>4</v>
      </c>
      <c r="H235" s="7">
        <v>4</v>
      </c>
      <c r="I235" s="7">
        <v>4</v>
      </c>
      <c r="J235" s="6"/>
      <c r="K235" s="3" t="s">
        <v>27</v>
      </c>
    </row>
    <row r="236" spans="1:11">
      <c r="A236" s="3" t="s">
        <v>35</v>
      </c>
      <c r="B236" s="3" t="s">
        <v>26</v>
      </c>
      <c r="C236" s="3" t="s">
        <v>141</v>
      </c>
      <c r="D236" s="3" t="s">
        <v>126</v>
      </c>
      <c r="E236" s="7">
        <v>3</v>
      </c>
      <c r="F236" s="7">
        <v>3</v>
      </c>
      <c r="G236" s="7">
        <v>4</v>
      </c>
      <c r="H236" s="7">
        <v>3</v>
      </c>
      <c r="I236" s="7">
        <v>3</v>
      </c>
      <c r="J236" s="6"/>
      <c r="K236" s="3" t="s">
        <v>27</v>
      </c>
    </row>
    <row r="237" spans="1:11">
      <c r="A237" s="3" t="s">
        <v>35</v>
      </c>
      <c r="B237" s="3" t="s">
        <v>26</v>
      </c>
      <c r="C237" s="3" t="s">
        <v>144</v>
      </c>
      <c r="D237" s="3" t="s">
        <v>126</v>
      </c>
      <c r="E237" s="7">
        <v>4</v>
      </c>
      <c r="F237" s="7">
        <v>4</v>
      </c>
      <c r="G237" s="7">
        <v>4</v>
      </c>
      <c r="H237" s="7">
        <v>3</v>
      </c>
      <c r="I237" s="7">
        <v>3</v>
      </c>
      <c r="J237" s="6"/>
      <c r="K237" s="3" t="s">
        <v>27</v>
      </c>
    </row>
    <row r="238" spans="1:11">
      <c r="A238" s="3" t="s">
        <v>35</v>
      </c>
      <c r="B238" s="3" t="s">
        <v>26</v>
      </c>
      <c r="C238" s="3" t="s">
        <v>147</v>
      </c>
      <c r="D238" s="3" t="s">
        <v>126</v>
      </c>
      <c r="E238" s="7">
        <v>3</v>
      </c>
      <c r="F238" s="7">
        <v>3</v>
      </c>
      <c r="G238" s="7">
        <v>4</v>
      </c>
      <c r="H238" s="7">
        <v>2</v>
      </c>
      <c r="I238" s="7">
        <v>4</v>
      </c>
      <c r="J238" s="6"/>
      <c r="K238" s="3" t="s">
        <v>27</v>
      </c>
    </row>
    <row r="239" spans="1:11">
      <c r="A239" s="3" t="s">
        <v>35</v>
      </c>
      <c r="B239" s="3" t="s">
        <v>26</v>
      </c>
      <c r="C239" s="3" t="s">
        <v>150</v>
      </c>
      <c r="D239" s="3" t="s">
        <v>126</v>
      </c>
      <c r="E239" s="7">
        <v>3</v>
      </c>
      <c r="F239" s="7">
        <v>4</v>
      </c>
      <c r="G239" s="7">
        <v>4</v>
      </c>
      <c r="H239" s="7">
        <v>3</v>
      </c>
      <c r="I239" s="7">
        <v>4</v>
      </c>
      <c r="J239" s="6"/>
      <c r="K239" s="3" t="s">
        <v>27</v>
      </c>
    </row>
    <row r="240" spans="1:11">
      <c r="A240" s="3" t="s">
        <v>35</v>
      </c>
      <c r="B240" s="3" t="s">
        <v>26</v>
      </c>
      <c r="C240" s="3" t="s">
        <v>153</v>
      </c>
      <c r="D240" s="3" t="s">
        <v>126</v>
      </c>
      <c r="E240" s="7">
        <v>4</v>
      </c>
      <c r="F240" s="7">
        <v>4</v>
      </c>
      <c r="G240" s="7">
        <v>3</v>
      </c>
      <c r="H240" s="7">
        <v>3</v>
      </c>
      <c r="I240" s="7">
        <v>3</v>
      </c>
      <c r="J240" s="6" t="s">
        <v>226</v>
      </c>
      <c r="K240" s="3" t="s">
        <v>27</v>
      </c>
    </row>
    <row r="241" spans="1:11">
      <c r="A241" s="3" t="s">
        <v>35</v>
      </c>
      <c r="B241" s="3" t="s">
        <v>26</v>
      </c>
      <c r="C241" s="3" t="s">
        <v>156</v>
      </c>
      <c r="D241" s="3" t="s">
        <v>157</v>
      </c>
      <c r="E241" s="7">
        <v>3</v>
      </c>
      <c r="F241" s="7">
        <v>4</v>
      </c>
      <c r="G241" s="7">
        <v>4</v>
      </c>
      <c r="H241" s="7">
        <v>3</v>
      </c>
      <c r="I241" s="7">
        <v>4</v>
      </c>
      <c r="J241" s="6"/>
      <c r="K241" s="3" t="s">
        <v>27</v>
      </c>
    </row>
    <row r="242" spans="1:11">
      <c r="A242" s="3" t="s">
        <v>35</v>
      </c>
      <c r="B242" s="3" t="s">
        <v>26</v>
      </c>
      <c r="C242" s="3" t="s">
        <v>162</v>
      </c>
      <c r="D242" s="3" t="s">
        <v>157</v>
      </c>
      <c r="E242" s="7">
        <v>4</v>
      </c>
      <c r="F242" s="7">
        <v>4</v>
      </c>
      <c r="G242" s="7">
        <v>4</v>
      </c>
      <c r="H242" s="7">
        <v>4</v>
      </c>
      <c r="I242" s="7">
        <v>4</v>
      </c>
      <c r="J242" s="6"/>
      <c r="K242" s="3" t="s">
        <v>27</v>
      </c>
    </row>
    <row r="243" spans="1:11">
      <c r="A243" s="3" t="s">
        <v>35</v>
      </c>
      <c r="B243" s="3" t="s">
        <v>26</v>
      </c>
      <c r="C243" s="3" t="s">
        <v>165</v>
      </c>
      <c r="D243" s="3" t="s">
        <v>157</v>
      </c>
      <c r="E243" s="7">
        <v>3</v>
      </c>
      <c r="F243" s="7">
        <v>4</v>
      </c>
      <c r="G243" s="7">
        <v>4</v>
      </c>
      <c r="H243" s="7">
        <v>2</v>
      </c>
      <c r="I243" s="7">
        <v>3</v>
      </c>
      <c r="J243" s="6"/>
      <c r="K243" s="3" t="s">
        <v>27</v>
      </c>
    </row>
    <row r="244" spans="1:11">
      <c r="A244" s="3" t="s">
        <v>35</v>
      </c>
      <c r="B244" s="3" t="s">
        <v>26</v>
      </c>
      <c r="C244" s="3" t="s">
        <v>168</v>
      </c>
      <c r="D244" s="3" t="s">
        <v>157</v>
      </c>
      <c r="E244" s="7">
        <v>3</v>
      </c>
      <c r="F244" s="7">
        <v>4</v>
      </c>
      <c r="G244" s="7">
        <v>4</v>
      </c>
      <c r="H244" s="7">
        <v>3</v>
      </c>
      <c r="I244" s="7">
        <v>4</v>
      </c>
      <c r="J244" s="6"/>
      <c r="K244" s="3" t="s">
        <v>27</v>
      </c>
    </row>
    <row r="245" spans="1:11">
      <c r="A245" s="3" t="s">
        <v>35</v>
      </c>
      <c r="B245" s="3" t="s">
        <v>26</v>
      </c>
      <c r="C245" s="3" t="s">
        <v>25</v>
      </c>
      <c r="D245" s="3" t="s">
        <v>171</v>
      </c>
      <c r="E245" s="7">
        <v>4</v>
      </c>
      <c r="F245" s="7">
        <v>4</v>
      </c>
      <c r="G245" s="7">
        <v>4</v>
      </c>
      <c r="H245" s="7">
        <v>4</v>
      </c>
      <c r="I245" s="7">
        <v>4</v>
      </c>
      <c r="J245" s="6"/>
      <c r="K245" s="3" t="s">
        <v>27</v>
      </c>
    </row>
    <row r="246" spans="1:11">
      <c r="A246" s="3" t="s">
        <v>35</v>
      </c>
      <c r="B246" s="3" t="s">
        <v>26</v>
      </c>
      <c r="C246" s="3" t="s">
        <v>31</v>
      </c>
      <c r="D246" s="3" t="s">
        <v>171</v>
      </c>
      <c r="E246" s="7">
        <v>3</v>
      </c>
      <c r="F246" s="7">
        <v>4</v>
      </c>
      <c r="G246" s="7">
        <v>3</v>
      </c>
      <c r="H246" s="7">
        <v>3</v>
      </c>
      <c r="I246" s="7">
        <v>4</v>
      </c>
      <c r="J246" s="6"/>
      <c r="K246" s="3" t="s">
        <v>27</v>
      </c>
    </row>
    <row r="247" spans="1:11">
      <c r="A247" s="3" t="s">
        <v>35</v>
      </c>
      <c r="B247" s="3" t="s">
        <v>26</v>
      </c>
      <c r="C247" s="3" t="s">
        <v>32</v>
      </c>
      <c r="D247" s="3" t="s">
        <v>171</v>
      </c>
      <c r="E247" s="7">
        <v>4</v>
      </c>
      <c r="F247" s="7">
        <v>4</v>
      </c>
      <c r="G247" s="7">
        <v>3</v>
      </c>
      <c r="H247" s="7">
        <v>4</v>
      </c>
      <c r="I247" s="7">
        <v>4</v>
      </c>
      <c r="J247" s="6"/>
      <c r="K247" s="3" t="s">
        <v>27</v>
      </c>
    </row>
    <row r="248" spans="1:11">
      <c r="A248" s="3" t="s">
        <v>35</v>
      </c>
      <c r="B248" s="3" t="s">
        <v>26</v>
      </c>
      <c r="C248" s="3" t="s">
        <v>33</v>
      </c>
      <c r="D248" s="3" t="s">
        <v>171</v>
      </c>
      <c r="E248" s="7">
        <v>4</v>
      </c>
      <c r="F248" s="7">
        <v>4</v>
      </c>
      <c r="G248" s="7">
        <v>4</v>
      </c>
      <c r="H248" s="7">
        <v>4</v>
      </c>
      <c r="I248" s="7">
        <v>4</v>
      </c>
      <c r="J248" s="6"/>
      <c r="K248" s="3" t="s">
        <v>27</v>
      </c>
    </row>
    <row r="249" spans="1:11">
      <c r="A249" s="3" t="s">
        <v>35</v>
      </c>
      <c r="B249" s="3" t="s">
        <v>26</v>
      </c>
      <c r="C249" s="3" t="s">
        <v>34</v>
      </c>
      <c r="D249" s="3" t="s">
        <v>171</v>
      </c>
      <c r="E249" s="7">
        <v>4</v>
      </c>
      <c r="F249" s="7">
        <v>4</v>
      </c>
      <c r="G249" s="7">
        <v>4</v>
      </c>
      <c r="H249" s="7">
        <v>4</v>
      </c>
      <c r="I249" s="7">
        <v>3</v>
      </c>
      <c r="J249" s="6"/>
      <c r="K249" s="3" t="s">
        <v>27</v>
      </c>
    </row>
    <row r="250" spans="1:11">
      <c r="A250" s="3" t="s">
        <v>35</v>
      </c>
      <c r="B250" s="3" t="s">
        <v>26</v>
      </c>
      <c r="C250" s="3" t="s">
        <v>35</v>
      </c>
      <c r="D250" s="3" t="s">
        <v>171</v>
      </c>
      <c r="E250" s="7">
        <v>3</v>
      </c>
      <c r="F250" s="7">
        <v>4</v>
      </c>
      <c r="G250" s="7">
        <v>4</v>
      </c>
      <c r="H250" s="7">
        <v>2</v>
      </c>
      <c r="I250" s="7">
        <v>3</v>
      </c>
      <c r="J250" s="6"/>
      <c r="K250" s="3" t="s">
        <v>27</v>
      </c>
    </row>
    <row r="251" spans="1:11">
      <c r="A251" s="3" t="s">
        <v>35</v>
      </c>
      <c r="B251" s="3" t="s">
        <v>26</v>
      </c>
      <c r="C251" s="3" t="s">
        <v>186</v>
      </c>
      <c r="D251" s="3" t="s">
        <v>171</v>
      </c>
      <c r="E251" s="7">
        <v>3</v>
      </c>
      <c r="F251" s="7">
        <v>3</v>
      </c>
      <c r="G251" s="7">
        <v>4</v>
      </c>
      <c r="H251" s="7">
        <v>4</v>
      </c>
      <c r="I251" s="7">
        <v>4</v>
      </c>
      <c r="J251" s="6"/>
      <c r="K251" s="3" t="s">
        <v>27</v>
      </c>
    </row>
    <row r="252" spans="1:11">
      <c r="A252" s="3" t="s">
        <v>35</v>
      </c>
      <c r="B252" s="3" t="s">
        <v>26</v>
      </c>
      <c r="C252" s="3" t="s">
        <v>189</v>
      </c>
      <c r="D252" s="3" t="s">
        <v>171</v>
      </c>
      <c r="E252" s="7">
        <v>4</v>
      </c>
      <c r="F252" s="7">
        <v>3</v>
      </c>
      <c r="G252" s="7">
        <v>3</v>
      </c>
      <c r="H252" s="7">
        <v>3</v>
      </c>
      <c r="I252" s="7">
        <v>4</v>
      </c>
      <c r="J252" s="6"/>
      <c r="K252" s="3" t="s">
        <v>27</v>
      </c>
    </row>
    <row r="253" spans="1:11">
      <c r="A253" s="3" t="s">
        <v>35</v>
      </c>
      <c r="B253" s="3" t="s">
        <v>26</v>
      </c>
      <c r="C253" s="3" t="s">
        <v>192</v>
      </c>
      <c r="D253" s="3" t="s">
        <v>171</v>
      </c>
      <c r="E253" s="7">
        <v>3</v>
      </c>
      <c r="F253" s="7">
        <v>4</v>
      </c>
      <c r="G253" s="7">
        <v>3</v>
      </c>
      <c r="H253" s="7">
        <v>3</v>
      </c>
      <c r="I253" s="7">
        <v>4</v>
      </c>
      <c r="J253" s="6" t="s">
        <v>227</v>
      </c>
      <c r="K253" s="3" t="s">
        <v>27</v>
      </c>
    </row>
    <row r="254" spans="1:11">
      <c r="A254" s="3" t="s">
        <v>36</v>
      </c>
      <c r="B254" s="3" t="s">
        <v>37</v>
      </c>
      <c r="C254" s="3" t="s">
        <v>54</v>
      </c>
      <c r="D254" s="3" t="s">
        <v>55</v>
      </c>
      <c r="E254" s="7">
        <v>4</v>
      </c>
      <c r="F254" s="7">
        <v>4</v>
      </c>
      <c r="G254" s="7">
        <v>3</v>
      </c>
      <c r="H254" s="7">
        <v>4</v>
      </c>
      <c r="I254" s="7">
        <v>3</v>
      </c>
      <c r="J254" s="6"/>
      <c r="K254" s="3" t="s">
        <v>27</v>
      </c>
    </row>
    <row r="255" spans="1:11">
      <c r="A255" s="3" t="s">
        <v>36</v>
      </c>
      <c r="B255" s="3" t="s">
        <v>37</v>
      </c>
      <c r="C255" s="3" t="s">
        <v>64</v>
      </c>
      <c r="D255" s="3" t="s">
        <v>55</v>
      </c>
      <c r="E255" s="7">
        <v>2</v>
      </c>
      <c r="F255" s="7">
        <v>4</v>
      </c>
      <c r="G255" s="7">
        <v>4</v>
      </c>
      <c r="H255" s="7">
        <v>3</v>
      </c>
      <c r="I255" s="7">
        <v>3</v>
      </c>
      <c r="J255" s="6"/>
      <c r="K255" s="3" t="s">
        <v>27</v>
      </c>
    </row>
    <row r="256" spans="1:11">
      <c r="A256" s="3" t="s">
        <v>36</v>
      </c>
      <c r="B256" s="3" t="s">
        <v>37</v>
      </c>
      <c r="C256" s="3" t="s">
        <v>67</v>
      </c>
      <c r="D256" s="3" t="s">
        <v>55</v>
      </c>
      <c r="E256" s="7">
        <v>3</v>
      </c>
      <c r="F256" s="7">
        <v>4</v>
      </c>
      <c r="G256" s="7">
        <v>4</v>
      </c>
      <c r="H256" s="7">
        <v>4</v>
      </c>
      <c r="I256" s="7">
        <v>4</v>
      </c>
      <c r="J256" s="6" t="s">
        <v>228</v>
      </c>
      <c r="K256" s="3" t="s">
        <v>27</v>
      </c>
    </row>
    <row r="257" spans="1:11">
      <c r="A257" s="3" t="s">
        <v>36</v>
      </c>
      <c r="B257" s="3" t="s">
        <v>37</v>
      </c>
      <c r="C257" s="3" t="s">
        <v>70</v>
      </c>
      <c r="D257" s="3" t="s">
        <v>55</v>
      </c>
      <c r="E257" s="7">
        <v>4</v>
      </c>
      <c r="F257" s="7">
        <v>3</v>
      </c>
      <c r="G257" s="7">
        <v>4</v>
      </c>
      <c r="H257" s="7">
        <v>3</v>
      </c>
      <c r="I257" s="7">
        <v>4</v>
      </c>
      <c r="J257" s="6"/>
      <c r="K257" s="3" t="s">
        <v>27</v>
      </c>
    </row>
    <row r="258" spans="1:11">
      <c r="A258" s="3" t="s">
        <v>36</v>
      </c>
      <c r="B258" s="3" t="s">
        <v>37</v>
      </c>
      <c r="C258" s="3" t="s">
        <v>74</v>
      </c>
      <c r="D258" s="3" t="s">
        <v>55</v>
      </c>
      <c r="E258" s="7">
        <v>4</v>
      </c>
      <c r="F258" s="7">
        <v>4</v>
      </c>
      <c r="G258" s="7">
        <v>4</v>
      </c>
      <c r="H258" s="7">
        <v>1</v>
      </c>
      <c r="I258" s="7">
        <v>3</v>
      </c>
      <c r="J258" s="6"/>
      <c r="K258" s="3" t="s">
        <v>27</v>
      </c>
    </row>
    <row r="259" spans="1:11">
      <c r="A259" s="3" t="s">
        <v>36</v>
      </c>
      <c r="B259" s="3" t="s">
        <v>37</v>
      </c>
      <c r="C259" s="3" t="s">
        <v>77</v>
      </c>
      <c r="D259" s="3" t="s">
        <v>55</v>
      </c>
      <c r="E259" s="7">
        <v>4</v>
      </c>
      <c r="F259" s="7">
        <v>4</v>
      </c>
      <c r="G259" s="7">
        <v>4</v>
      </c>
      <c r="H259" s="7">
        <v>3</v>
      </c>
      <c r="I259" s="7">
        <v>3</v>
      </c>
      <c r="J259" s="6"/>
      <c r="K259" s="3" t="s">
        <v>27</v>
      </c>
    </row>
    <row r="260" spans="1:11">
      <c r="A260" s="3" t="s">
        <v>36</v>
      </c>
      <c r="B260" s="3" t="s">
        <v>37</v>
      </c>
      <c r="C260" s="3" t="s">
        <v>80</v>
      </c>
      <c r="D260" s="3" t="s">
        <v>55</v>
      </c>
      <c r="E260" s="7">
        <v>4</v>
      </c>
      <c r="F260" s="7">
        <v>4</v>
      </c>
      <c r="G260" s="7">
        <v>2</v>
      </c>
      <c r="H260" s="7">
        <v>4</v>
      </c>
      <c r="I260" s="7">
        <v>4</v>
      </c>
      <c r="J260" s="6"/>
      <c r="K260" s="3" t="s">
        <v>27</v>
      </c>
    </row>
    <row r="261" spans="1:11">
      <c r="A261" s="3" t="s">
        <v>36</v>
      </c>
      <c r="B261" s="3" t="s">
        <v>37</v>
      </c>
      <c r="C261" s="3" t="s">
        <v>83</v>
      </c>
      <c r="D261" s="3" t="s">
        <v>55</v>
      </c>
      <c r="E261" s="7">
        <v>4</v>
      </c>
      <c r="F261" s="7">
        <v>3</v>
      </c>
      <c r="G261" s="7">
        <v>3</v>
      </c>
      <c r="H261" s="7">
        <v>3</v>
      </c>
      <c r="I261" s="7">
        <v>4</v>
      </c>
      <c r="J261" s="6" t="s">
        <v>229</v>
      </c>
      <c r="K261" s="3" t="s">
        <v>27</v>
      </c>
    </row>
    <row r="262" spans="1:11">
      <c r="A262" s="3" t="s">
        <v>36</v>
      </c>
      <c r="B262" s="3" t="s">
        <v>37</v>
      </c>
      <c r="C262" s="3" t="s">
        <v>87</v>
      </c>
      <c r="D262" s="3" t="s">
        <v>55</v>
      </c>
      <c r="E262" s="7">
        <v>4</v>
      </c>
      <c r="F262" s="7">
        <v>4</v>
      </c>
      <c r="G262" s="7">
        <v>4</v>
      </c>
      <c r="H262" s="7">
        <v>4</v>
      </c>
      <c r="I262" s="7">
        <v>4</v>
      </c>
      <c r="J262" s="6"/>
      <c r="K262" s="3" t="s">
        <v>27</v>
      </c>
    </row>
    <row r="263" spans="1:11">
      <c r="A263" s="3" t="s">
        <v>36</v>
      </c>
      <c r="B263" s="3" t="s">
        <v>37</v>
      </c>
      <c r="C263" s="3" t="s">
        <v>91</v>
      </c>
      <c r="D263" s="3" t="s">
        <v>55</v>
      </c>
      <c r="E263" s="7">
        <v>4</v>
      </c>
      <c r="F263" s="7">
        <v>4</v>
      </c>
      <c r="G263" s="7">
        <v>4</v>
      </c>
      <c r="H263" s="7">
        <v>3</v>
      </c>
      <c r="I263" s="7">
        <v>4</v>
      </c>
      <c r="J263" s="6"/>
      <c r="K263" s="3" t="s">
        <v>27</v>
      </c>
    </row>
    <row r="264" spans="1:11">
      <c r="A264" s="3" t="s">
        <v>36</v>
      </c>
      <c r="B264" s="3" t="s">
        <v>37</v>
      </c>
      <c r="C264" s="3" t="s">
        <v>94</v>
      </c>
      <c r="D264" s="3" t="s">
        <v>55</v>
      </c>
      <c r="E264" s="7">
        <v>4</v>
      </c>
      <c r="F264" s="7">
        <v>4</v>
      </c>
      <c r="G264" s="7">
        <v>4</v>
      </c>
      <c r="H264" s="7">
        <v>4</v>
      </c>
      <c r="I264" s="7">
        <v>4</v>
      </c>
      <c r="J264" s="6"/>
      <c r="K264" s="3" t="s">
        <v>27</v>
      </c>
    </row>
    <row r="265" spans="1:11">
      <c r="A265" s="3" t="s">
        <v>36</v>
      </c>
      <c r="B265" s="3" t="s">
        <v>37</v>
      </c>
      <c r="C265" s="3" t="s">
        <v>97</v>
      </c>
      <c r="D265" s="3" t="s">
        <v>55</v>
      </c>
      <c r="E265" s="7">
        <v>4</v>
      </c>
      <c r="F265" s="7">
        <v>4</v>
      </c>
      <c r="G265" s="7">
        <v>2</v>
      </c>
      <c r="H265" s="7">
        <v>3</v>
      </c>
      <c r="I265" s="7">
        <v>4</v>
      </c>
      <c r="J265" s="6"/>
      <c r="K265" s="3" t="s">
        <v>27</v>
      </c>
    </row>
    <row r="266" spans="1:11">
      <c r="A266" s="3" t="s">
        <v>36</v>
      </c>
      <c r="B266" s="3" t="s">
        <v>37</v>
      </c>
      <c r="C266" s="3" t="s">
        <v>100</v>
      </c>
      <c r="D266" s="3" t="s">
        <v>55</v>
      </c>
      <c r="E266" s="7">
        <v>4</v>
      </c>
      <c r="F266" s="7">
        <v>3</v>
      </c>
      <c r="G266" s="7">
        <v>2</v>
      </c>
      <c r="H266" s="7">
        <v>3</v>
      </c>
      <c r="I266" s="7">
        <v>4</v>
      </c>
      <c r="J266" s="6"/>
      <c r="K266" s="3" t="s">
        <v>27</v>
      </c>
    </row>
    <row r="267" spans="1:11">
      <c r="A267" s="3" t="s">
        <v>36</v>
      </c>
      <c r="B267" s="3" t="s">
        <v>37</v>
      </c>
      <c r="C267" s="3" t="s">
        <v>103</v>
      </c>
      <c r="D267" s="3" t="s">
        <v>55</v>
      </c>
      <c r="E267" s="7">
        <v>3</v>
      </c>
      <c r="F267" s="7">
        <v>4</v>
      </c>
      <c r="G267" s="7">
        <v>1</v>
      </c>
      <c r="H267" s="7">
        <v>4</v>
      </c>
      <c r="I267" s="7">
        <v>4</v>
      </c>
      <c r="J267" s="6"/>
      <c r="K267" s="3" t="s">
        <v>27</v>
      </c>
    </row>
    <row r="268" spans="1:11">
      <c r="A268" s="3" t="s">
        <v>36</v>
      </c>
      <c r="B268" s="3" t="s">
        <v>37</v>
      </c>
      <c r="C268" s="3" t="s">
        <v>106</v>
      </c>
      <c r="D268" s="3" t="s">
        <v>55</v>
      </c>
      <c r="E268" s="7">
        <v>4</v>
      </c>
      <c r="F268" s="7">
        <v>4</v>
      </c>
      <c r="G268" s="7">
        <v>3</v>
      </c>
      <c r="H268" s="7">
        <v>3</v>
      </c>
      <c r="I268" s="7">
        <v>3</v>
      </c>
      <c r="J268" s="6"/>
      <c r="K268" s="3" t="s">
        <v>27</v>
      </c>
    </row>
    <row r="269" spans="1:11">
      <c r="A269" s="3" t="s">
        <v>36</v>
      </c>
      <c r="B269" s="3" t="s">
        <v>37</v>
      </c>
      <c r="C269" s="3" t="s">
        <v>109</v>
      </c>
      <c r="D269" s="3" t="s">
        <v>55</v>
      </c>
      <c r="E269" s="7">
        <v>4</v>
      </c>
      <c r="F269" s="7">
        <v>1</v>
      </c>
      <c r="G269" s="7">
        <v>3</v>
      </c>
      <c r="H269" s="7">
        <v>4</v>
      </c>
      <c r="I269" s="7">
        <v>2</v>
      </c>
      <c r="J269" s="6"/>
      <c r="K269" s="3" t="s">
        <v>27</v>
      </c>
    </row>
    <row r="270" spans="1:11">
      <c r="A270" s="3" t="s">
        <v>36</v>
      </c>
      <c r="B270" s="3" t="s">
        <v>37</v>
      </c>
      <c r="C270" s="3" t="s">
        <v>113</v>
      </c>
      <c r="D270" s="3" t="s">
        <v>55</v>
      </c>
      <c r="E270" s="7">
        <v>2</v>
      </c>
      <c r="F270" s="7">
        <v>3</v>
      </c>
      <c r="G270" s="7">
        <v>3</v>
      </c>
      <c r="H270" s="7">
        <v>3</v>
      </c>
      <c r="I270" s="7">
        <v>4</v>
      </c>
      <c r="J270" s="6"/>
      <c r="K270" s="3" t="s">
        <v>27</v>
      </c>
    </row>
    <row r="271" spans="1:11">
      <c r="A271" s="3" t="s">
        <v>36</v>
      </c>
      <c r="B271" s="3" t="s">
        <v>37</v>
      </c>
      <c r="C271" s="3" t="s">
        <v>116</v>
      </c>
      <c r="D271" s="3" t="s">
        <v>55</v>
      </c>
      <c r="E271" s="7">
        <v>4</v>
      </c>
      <c r="F271" s="7">
        <v>4</v>
      </c>
      <c r="G271" s="7">
        <v>3</v>
      </c>
      <c r="H271" s="7">
        <v>4</v>
      </c>
      <c r="I271" s="7">
        <v>4</v>
      </c>
      <c r="J271" s="6"/>
      <c r="K271" s="3" t="s">
        <v>27</v>
      </c>
    </row>
    <row r="272" spans="1:11">
      <c r="A272" s="3" t="s">
        <v>36</v>
      </c>
      <c r="B272" s="3" t="s">
        <v>37</v>
      </c>
      <c r="C272" s="3" t="s">
        <v>119</v>
      </c>
      <c r="D272" s="3" t="s">
        <v>55</v>
      </c>
      <c r="E272" s="7">
        <v>3</v>
      </c>
      <c r="F272" s="7">
        <v>3</v>
      </c>
      <c r="G272" s="7">
        <v>2</v>
      </c>
      <c r="H272" s="7">
        <v>3</v>
      </c>
      <c r="I272" s="7">
        <v>4</v>
      </c>
      <c r="J272" s="6"/>
      <c r="K272" s="3" t="s">
        <v>27</v>
      </c>
    </row>
    <row r="273" spans="1:11">
      <c r="A273" s="3" t="s">
        <v>36</v>
      </c>
      <c r="B273" s="3" t="s">
        <v>37</v>
      </c>
      <c r="C273" s="3" t="s">
        <v>122</v>
      </c>
      <c r="D273" s="3" t="s">
        <v>55</v>
      </c>
      <c r="E273" s="7">
        <v>3</v>
      </c>
      <c r="F273" s="7">
        <v>3</v>
      </c>
      <c r="G273" s="7">
        <v>4</v>
      </c>
      <c r="H273" s="7">
        <v>4</v>
      </c>
      <c r="I273" s="7">
        <v>4</v>
      </c>
      <c r="J273" s="6"/>
      <c r="K273" s="3" t="s">
        <v>27</v>
      </c>
    </row>
    <row r="274" spans="1:11">
      <c r="A274" s="3" t="s">
        <v>36</v>
      </c>
      <c r="B274" s="3" t="s">
        <v>37</v>
      </c>
      <c r="C274" s="3" t="s">
        <v>125</v>
      </c>
      <c r="D274" s="3" t="s">
        <v>126</v>
      </c>
      <c r="E274" s="7">
        <v>3</v>
      </c>
      <c r="F274" s="7">
        <v>3</v>
      </c>
      <c r="G274" s="7">
        <v>4</v>
      </c>
      <c r="H274" s="7">
        <v>3</v>
      </c>
      <c r="I274" s="7">
        <v>3</v>
      </c>
      <c r="J274" s="6" t="s">
        <v>230</v>
      </c>
      <c r="K274" s="3" t="s">
        <v>27</v>
      </c>
    </row>
    <row r="275" spans="1:11">
      <c r="A275" s="3" t="s">
        <v>36</v>
      </c>
      <c r="B275" s="3" t="s">
        <v>37</v>
      </c>
      <c r="C275" s="3" t="s">
        <v>132</v>
      </c>
      <c r="D275" s="3" t="s">
        <v>126</v>
      </c>
      <c r="E275" s="7">
        <v>4</v>
      </c>
      <c r="F275" s="7">
        <v>4</v>
      </c>
      <c r="G275" s="7">
        <v>4</v>
      </c>
      <c r="H275" s="7">
        <v>4</v>
      </c>
      <c r="I275" s="7">
        <v>4</v>
      </c>
      <c r="J275" s="6"/>
      <c r="K275" s="3" t="s">
        <v>27</v>
      </c>
    </row>
    <row r="276" spans="1:11">
      <c r="A276" s="3" t="s">
        <v>36</v>
      </c>
      <c r="B276" s="3" t="s">
        <v>37</v>
      </c>
      <c r="C276" s="3" t="s">
        <v>135</v>
      </c>
      <c r="D276" s="3" t="s">
        <v>126</v>
      </c>
      <c r="E276" s="7">
        <v>4</v>
      </c>
      <c r="F276" s="7">
        <v>4</v>
      </c>
      <c r="G276" s="7">
        <v>4</v>
      </c>
      <c r="H276" s="7">
        <v>4</v>
      </c>
      <c r="I276" s="7">
        <v>4</v>
      </c>
      <c r="J276" s="6"/>
      <c r="K276" s="3" t="s">
        <v>27</v>
      </c>
    </row>
    <row r="277" spans="1:11">
      <c r="A277" s="3" t="s">
        <v>36</v>
      </c>
      <c r="B277" s="3" t="s">
        <v>37</v>
      </c>
      <c r="C277" s="3" t="s">
        <v>138</v>
      </c>
      <c r="D277" s="3" t="s">
        <v>126</v>
      </c>
      <c r="E277" s="7">
        <v>4</v>
      </c>
      <c r="F277" s="7">
        <v>4</v>
      </c>
      <c r="G277" s="7">
        <v>3</v>
      </c>
      <c r="H277" s="7">
        <v>3</v>
      </c>
      <c r="I277" s="7">
        <v>1</v>
      </c>
      <c r="J277" s="6"/>
      <c r="K277" s="3" t="s">
        <v>27</v>
      </c>
    </row>
    <row r="278" spans="1:11">
      <c r="A278" s="3" t="s">
        <v>36</v>
      </c>
      <c r="B278" s="3" t="s">
        <v>37</v>
      </c>
      <c r="C278" s="3" t="s">
        <v>141</v>
      </c>
      <c r="D278" s="3" t="s">
        <v>126</v>
      </c>
      <c r="E278" s="7">
        <v>3</v>
      </c>
      <c r="F278" s="7">
        <v>3</v>
      </c>
      <c r="G278" s="7">
        <v>3</v>
      </c>
      <c r="H278" s="7">
        <v>2</v>
      </c>
      <c r="I278" s="7">
        <v>4</v>
      </c>
      <c r="J278" s="6"/>
      <c r="K278" s="3" t="s">
        <v>27</v>
      </c>
    </row>
    <row r="279" spans="1:11">
      <c r="A279" s="3" t="s">
        <v>36</v>
      </c>
      <c r="B279" s="3" t="s">
        <v>37</v>
      </c>
      <c r="C279" s="3" t="s">
        <v>144</v>
      </c>
      <c r="D279" s="3" t="s">
        <v>126</v>
      </c>
      <c r="E279" s="7">
        <v>4</v>
      </c>
      <c r="F279" s="7">
        <v>2</v>
      </c>
      <c r="G279" s="7">
        <v>3</v>
      </c>
      <c r="H279" s="7">
        <v>2</v>
      </c>
      <c r="I279" s="7">
        <v>3</v>
      </c>
      <c r="J279" s="6"/>
      <c r="K279" s="3" t="s">
        <v>27</v>
      </c>
    </row>
    <row r="280" spans="1:11">
      <c r="A280" s="3" t="s">
        <v>36</v>
      </c>
      <c r="B280" s="3" t="s">
        <v>37</v>
      </c>
      <c r="C280" s="3" t="s">
        <v>147</v>
      </c>
      <c r="D280" s="3" t="s">
        <v>126</v>
      </c>
      <c r="E280" s="7">
        <v>4</v>
      </c>
      <c r="F280" s="7">
        <v>3</v>
      </c>
      <c r="G280" s="7">
        <v>3</v>
      </c>
      <c r="H280" s="7">
        <v>2</v>
      </c>
      <c r="I280" s="7">
        <v>4</v>
      </c>
      <c r="J280" s="6"/>
      <c r="K280" s="3" t="s">
        <v>27</v>
      </c>
    </row>
    <row r="281" spans="1:11">
      <c r="A281" s="3" t="s">
        <v>36</v>
      </c>
      <c r="B281" s="3" t="s">
        <v>37</v>
      </c>
      <c r="C281" s="3" t="s">
        <v>150</v>
      </c>
      <c r="D281" s="3" t="s">
        <v>126</v>
      </c>
      <c r="E281" s="7">
        <v>3</v>
      </c>
      <c r="F281" s="7">
        <v>3</v>
      </c>
      <c r="G281" s="7">
        <v>4</v>
      </c>
      <c r="H281" s="7">
        <v>3</v>
      </c>
      <c r="I281" s="7">
        <v>3</v>
      </c>
      <c r="J281" s="6"/>
      <c r="K281" s="3" t="s">
        <v>27</v>
      </c>
    </row>
    <row r="282" spans="1:11">
      <c r="A282" s="3" t="s">
        <v>36</v>
      </c>
      <c r="B282" s="3" t="s">
        <v>37</v>
      </c>
      <c r="C282" s="3" t="s">
        <v>153</v>
      </c>
      <c r="D282" s="3" t="s">
        <v>126</v>
      </c>
      <c r="E282" s="7">
        <v>4</v>
      </c>
      <c r="F282" s="7">
        <v>3</v>
      </c>
      <c r="G282" s="7">
        <v>3</v>
      </c>
      <c r="H282" s="7">
        <v>4</v>
      </c>
      <c r="I282" s="7">
        <v>4</v>
      </c>
      <c r="J282" s="6"/>
      <c r="K282" s="3" t="s">
        <v>27</v>
      </c>
    </row>
    <row r="283" spans="1:11">
      <c r="A283" s="3" t="s">
        <v>36</v>
      </c>
      <c r="B283" s="3" t="s">
        <v>37</v>
      </c>
      <c r="C283" s="3" t="s">
        <v>156</v>
      </c>
      <c r="D283" s="3" t="s">
        <v>157</v>
      </c>
      <c r="E283" s="7">
        <v>3</v>
      </c>
      <c r="F283" s="7">
        <v>3</v>
      </c>
      <c r="G283" s="7">
        <v>4</v>
      </c>
      <c r="H283" s="7">
        <v>4</v>
      </c>
      <c r="I283" s="7">
        <v>3</v>
      </c>
      <c r="J283" s="6"/>
      <c r="K283" s="3" t="s">
        <v>27</v>
      </c>
    </row>
    <row r="284" spans="1:11">
      <c r="A284" s="3" t="s">
        <v>36</v>
      </c>
      <c r="B284" s="3" t="s">
        <v>37</v>
      </c>
      <c r="C284" s="3" t="s">
        <v>162</v>
      </c>
      <c r="D284" s="3" t="s">
        <v>157</v>
      </c>
      <c r="E284" s="7">
        <v>4</v>
      </c>
      <c r="F284" s="7">
        <v>4</v>
      </c>
      <c r="G284" s="7">
        <v>4</v>
      </c>
      <c r="H284" s="7">
        <v>3</v>
      </c>
      <c r="I284" s="7">
        <v>3</v>
      </c>
      <c r="J284" s="6"/>
      <c r="K284" s="3" t="s">
        <v>27</v>
      </c>
    </row>
    <row r="285" spans="1:11">
      <c r="A285" s="3" t="s">
        <v>36</v>
      </c>
      <c r="B285" s="3" t="s">
        <v>37</v>
      </c>
      <c r="C285" s="3" t="s">
        <v>165</v>
      </c>
      <c r="D285" s="3" t="s">
        <v>157</v>
      </c>
      <c r="E285" s="7">
        <v>4</v>
      </c>
      <c r="F285" s="7">
        <v>4</v>
      </c>
      <c r="G285" s="7">
        <v>3</v>
      </c>
      <c r="H285" s="7">
        <v>3</v>
      </c>
      <c r="I285" s="7">
        <v>4</v>
      </c>
      <c r="J285" s="6"/>
      <c r="K285" s="3" t="s">
        <v>27</v>
      </c>
    </row>
    <row r="286" spans="1:11">
      <c r="A286" s="3" t="s">
        <v>36</v>
      </c>
      <c r="B286" s="3" t="s">
        <v>37</v>
      </c>
      <c r="C286" s="3" t="s">
        <v>168</v>
      </c>
      <c r="D286" s="3" t="s">
        <v>157</v>
      </c>
      <c r="E286" s="7">
        <v>3</v>
      </c>
      <c r="F286" s="7">
        <v>4</v>
      </c>
      <c r="G286" s="7">
        <v>4</v>
      </c>
      <c r="H286" s="7">
        <v>3</v>
      </c>
      <c r="I286" s="7">
        <v>4</v>
      </c>
      <c r="J286" s="6" t="s">
        <v>231</v>
      </c>
      <c r="K286" s="3" t="s">
        <v>27</v>
      </c>
    </row>
    <row r="287" spans="1:11">
      <c r="A287" s="3" t="s">
        <v>36</v>
      </c>
      <c r="B287" s="3" t="s">
        <v>37</v>
      </c>
      <c r="C287" s="3" t="s">
        <v>25</v>
      </c>
      <c r="D287" s="3" t="s">
        <v>171</v>
      </c>
      <c r="E287" s="7">
        <v>4</v>
      </c>
      <c r="F287" s="7">
        <v>4</v>
      </c>
      <c r="G287" s="7">
        <v>4</v>
      </c>
      <c r="H287" s="7">
        <v>3</v>
      </c>
      <c r="I287" s="7">
        <v>3</v>
      </c>
      <c r="J287" s="6"/>
      <c r="K287" s="3" t="s">
        <v>27</v>
      </c>
    </row>
    <row r="288" spans="1:11">
      <c r="A288" s="3" t="s">
        <v>36</v>
      </c>
      <c r="B288" s="3" t="s">
        <v>37</v>
      </c>
      <c r="C288" s="3" t="s">
        <v>31</v>
      </c>
      <c r="D288" s="3" t="s">
        <v>171</v>
      </c>
      <c r="E288" s="7">
        <v>4</v>
      </c>
      <c r="F288" s="7">
        <v>3</v>
      </c>
      <c r="G288" s="7">
        <v>4</v>
      </c>
      <c r="H288" s="7">
        <v>4</v>
      </c>
      <c r="I288" s="7">
        <v>4</v>
      </c>
      <c r="J288" s="6"/>
      <c r="K288" s="3" t="s">
        <v>27</v>
      </c>
    </row>
    <row r="289" spans="1:11">
      <c r="A289" s="3" t="s">
        <v>36</v>
      </c>
      <c r="B289" s="3" t="s">
        <v>37</v>
      </c>
      <c r="C289" s="3" t="s">
        <v>32</v>
      </c>
      <c r="D289" s="3" t="s">
        <v>171</v>
      </c>
      <c r="E289" s="7">
        <v>3</v>
      </c>
      <c r="F289" s="7">
        <v>3</v>
      </c>
      <c r="G289" s="7">
        <v>3</v>
      </c>
      <c r="H289" s="7">
        <v>4</v>
      </c>
      <c r="I289" s="7">
        <v>4</v>
      </c>
      <c r="J289" s="6" t="s">
        <v>232</v>
      </c>
      <c r="K289" s="3" t="s">
        <v>27</v>
      </c>
    </row>
    <row r="290" spans="1:11">
      <c r="A290" s="3" t="s">
        <v>36</v>
      </c>
      <c r="B290" s="3" t="s">
        <v>37</v>
      </c>
      <c r="C290" s="3" t="s">
        <v>33</v>
      </c>
      <c r="D290" s="3" t="s">
        <v>171</v>
      </c>
      <c r="E290" s="7">
        <v>4</v>
      </c>
      <c r="F290" s="7">
        <v>4</v>
      </c>
      <c r="G290" s="7">
        <v>1</v>
      </c>
      <c r="H290" s="7">
        <v>4</v>
      </c>
      <c r="I290" s="7">
        <v>4</v>
      </c>
      <c r="J290" s="6"/>
      <c r="K290" s="3" t="s">
        <v>27</v>
      </c>
    </row>
    <row r="291" spans="1:11">
      <c r="A291" s="3" t="s">
        <v>36</v>
      </c>
      <c r="B291" s="3" t="s">
        <v>37</v>
      </c>
      <c r="C291" s="3" t="s">
        <v>34</v>
      </c>
      <c r="D291" s="3" t="s">
        <v>171</v>
      </c>
      <c r="E291" s="7">
        <v>4</v>
      </c>
      <c r="F291" s="7">
        <v>4</v>
      </c>
      <c r="G291" s="7">
        <v>3</v>
      </c>
      <c r="H291" s="7">
        <v>3</v>
      </c>
      <c r="I291" s="7">
        <v>3</v>
      </c>
      <c r="J291" s="6"/>
      <c r="K291" s="3" t="s">
        <v>27</v>
      </c>
    </row>
    <row r="292" spans="1:11">
      <c r="A292" s="3" t="s">
        <v>36</v>
      </c>
      <c r="B292" s="3" t="s">
        <v>37</v>
      </c>
      <c r="C292" s="3" t="s">
        <v>35</v>
      </c>
      <c r="D292" s="3" t="s">
        <v>171</v>
      </c>
      <c r="E292" s="7">
        <v>3</v>
      </c>
      <c r="F292" s="7">
        <v>4</v>
      </c>
      <c r="G292" s="7">
        <v>3</v>
      </c>
      <c r="H292" s="7">
        <v>3</v>
      </c>
      <c r="I292" s="7">
        <v>4</v>
      </c>
      <c r="J292" s="6"/>
      <c r="K292" s="3" t="s">
        <v>27</v>
      </c>
    </row>
    <row r="293" spans="1:11">
      <c r="A293" s="3" t="s">
        <v>36</v>
      </c>
      <c r="B293" s="3" t="s">
        <v>37</v>
      </c>
      <c r="C293" s="3" t="s">
        <v>186</v>
      </c>
      <c r="D293" s="3" t="s">
        <v>171</v>
      </c>
      <c r="E293" s="7">
        <v>3</v>
      </c>
      <c r="F293" s="7">
        <v>3</v>
      </c>
      <c r="G293" s="7">
        <v>4</v>
      </c>
      <c r="H293" s="7">
        <v>3</v>
      </c>
      <c r="I293" s="7">
        <v>3</v>
      </c>
      <c r="J293" s="6"/>
      <c r="K293" s="3" t="s">
        <v>27</v>
      </c>
    </row>
    <row r="294" spans="1:11">
      <c r="A294" s="3" t="s">
        <v>36</v>
      </c>
      <c r="B294" s="3" t="s">
        <v>37</v>
      </c>
      <c r="C294" s="3" t="s">
        <v>189</v>
      </c>
      <c r="D294" s="3" t="s">
        <v>171</v>
      </c>
      <c r="E294" s="7">
        <v>4</v>
      </c>
      <c r="F294" s="7">
        <v>4</v>
      </c>
      <c r="G294" s="7">
        <v>2</v>
      </c>
      <c r="H294" s="7">
        <v>3</v>
      </c>
      <c r="I294" s="7">
        <v>4</v>
      </c>
      <c r="J294" s="6"/>
      <c r="K294" s="3" t="s">
        <v>27</v>
      </c>
    </row>
    <row r="295" spans="1:11">
      <c r="A295" s="3" t="s">
        <v>36</v>
      </c>
      <c r="B295" s="3" t="s">
        <v>37</v>
      </c>
      <c r="C295" s="3" t="s">
        <v>192</v>
      </c>
      <c r="D295" s="3" t="s">
        <v>171</v>
      </c>
      <c r="E295" s="7">
        <v>4</v>
      </c>
      <c r="F295" s="7">
        <v>3</v>
      </c>
      <c r="G295" s="7">
        <v>3</v>
      </c>
      <c r="H295" s="7">
        <v>4</v>
      </c>
      <c r="I295" s="7">
        <v>4</v>
      </c>
      <c r="J295" s="6"/>
      <c r="K295" s="3" t="s">
        <v>27</v>
      </c>
    </row>
    <row r="296" spans="1:11">
      <c r="A296" s="3" t="s">
        <v>38</v>
      </c>
      <c r="B296" s="3" t="s">
        <v>37</v>
      </c>
      <c r="C296" s="3" t="s">
        <v>54</v>
      </c>
      <c r="D296" s="3" t="s">
        <v>55</v>
      </c>
      <c r="E296" s="7">
        <v>4</v>
      </c>
      <c r="F296" s="7">
        <v>4</v>
      </c>
      <c r="G296" s="7">
        <v>3</v>
      </c>
      <c r="H296" s="7">
        <v>4</v>
      </c>
      <c r="I296" s="7">
        <v>4</v>
      </c>
      <c r="J296" s="6"/>
      <c r="K296" s="3" t="s">
        <v>27</v>
      </c>
    </row>
    <row r="297" spans="1:11">
      <c r="A297" s="3" t="s">
        <v>38</v>
      </c>
      <c r="B297" s="3" t="s">
        <v>37</v>
      </c>
      <c r="C297" s="3" t="s">
        <v>64</v>
      </c>
      <c r="D297" s="3" t="s">
        <v>55</v>
      </c>
      <c r="E297" s="7">
        <v>4</v>
      </c>
      <c r="F297" s="7">
        <v>4</v>
      </c>
      <c r="G297" s="7">
        <v>4</v>
      </c>
      <c r="H297" s="7">
        <v>4</v>
      </c>
      <c r="I297" s="7">
        <v>4</v>
      </c>
      <c r="J297" s="6"/>
      <c r="K297" s="3" t="s">
        <v>27</v>
      </c>
    </row>
    <row r="298" spans="1:11">
      <c r="A298" s="3" t="s">
        <v>38</v>
      </c>
      <c r="B298" s="3" t="s">
        <v>37</v>
      </c>
      <c r="C298" s="3" t="s">
        <v>67</v>
      </c>
      <c r="D298" s="3" t="s">
        <v>55</v>
      </c>
      <c r="E298" s="7">
        <v>3</v>
      </c>
      <c r="F298" s="7">
        <v>3</v>
      </c>
      <c r="G298" s="7">
        <v>4</v>
      </c>
      <c r="H298" s="7">
        <v>3</v>
      </c>
      <c r="I298" s="7">
        <v>3</v>
      </c>
      <c r="J298" s="6"/>
      <c r="K298" s="3" t="s">
        <v>27</v>
      </c>
    </row>
    <row r="299" spans="1:11">
      <c r="A299" s="3" t="s">
        <v>38</v>
      </c>
      <c r="B299" s="3" t="s">
        <v>37</v>
      </c>
      <c r="C299" s="3" t="s">
        <v>70</v>
      </c>
      <c r="D299" s="3" t="s">
        <v>55</v>
      </c>
      <c r="E299" s="7">
        <v>4</v>
      </c>
      <c r="F299" s="7">
        <v>3</v>
      </c>
      <c r="G299" s="7">
        <v>4</v>
      </c>
      <c r="H299" s="7">
        <v>3</v>
      </c>
      <c r="I299" s="7">
        <v>3</v>
      </c>
      <c r="J299" s="6"/>
      <c r="K299" s="3" t="s">
        <v>27</v>
      </c>
    </row>
    <row r="300" ht="28.8" spans="1:11">
      <c r="A300" s="3" t="s">
        <v>38</v>
      </c>
      <c r="B300" s="3" t="s">
        <v>37</v>
      </c>
      <c r="C300" s="3" t="s">
        <v>74</v>
      </c>
      <c r="D300" s="3" t="s">
        <v>55</v>
      </c>
      <c r="E300" s="7">
        <v>4</v>
      </c>
      <c r="F300" s="7">
        <v>4</v>
      </c>
      <c r="G300" s="7">
        <v>4</v>
      </c>
      <c r="H300" s="7">
        <v>4</v>
      </c>
      <c r="I300" s="7">
        <v>4</v>
      </c>
      <c r="J300" s="6" t="s">
        <v>233</v>
      </c>
      <c r="K300" s="3" t="s">
        <v>27</v>
      </c>
    </row>
    <row r="301" spans="1:11">
      <c r="A301" s="3" t="s">
        <v>38</v>
      </c>
      <c r="B301" s="3" t="s">
        <v>37</v>
      </c>
      <c r="C301" s="3" t="s">
        <v>77</v>
      </c>
      <c r="D301" s="3" t="s">
        <v>55</v>
      </c>
      <c r="E301" s="7">
        <v>4</v>
      </c>
      <c r="F301" s="7">
        <v>4</v>
      </c>
      <c r="G301" s="7">
        <v>4</v>
      </c>
      <c r="H301" s="7">
        <v>4</v>
      </c>
      <c r="I301" s="7">
        <v>3</v>
      </c>
      <c r="J301" s="6" t="s">
        <v>234</v>
      </c>
      <c r="K301" s="3" t="s">
        <v>27</v>
      </c>
    </row>
    <row r="302" spans="1:11">
      <c r="A302" s="3" t="s">
        <v>38</v>
      </c>
      <c r="B302" s="3" t="s">
        <v>37</v>
      </c>
      <c r="C302" s="3" t="s">
        <v>80</v>
      </c>
      <c r="D302" s="3" t="s">
        <v>55</v>
      </c>
      <c r="E302" s="7">
        <v>3</v>
      </c>
      <c r="F302" s="7">
        <v>4</v>
      </c>
      <c r="G302" s="7">
        <v>4</v>
      </c>
      <c r="H302" s="7">
        <v>4</v>
      </c>
      <c r="I302" s="7">
        <v>4</v>
      </c>
      <c r="J302" s="6"/>
      <c r="K302" s="3" t="s">
        <v>27</v>
      </c>
    </row>
    <row r="303" spans="1:11">
      <c r="A303" s="3" t="s">
        <v>38</v>
      </c>
      <c r="B303" s="3" t="s">
        <v>37</v>
      </c>
      <c r="C303" s="3" t="s">
        <v>83</v>
      </c>
      <c r="D303" s="3" t="s">
        <v>55</v>
      </c>
      <c r="E303" s="7">
        <v>3</v>
      </c>
      <c r="F303" s="7">
        <v>3</v>
      </c>
      <c r="G303" s="7">
        <v>4</v>
      </c>
      <c r="H303" s="7">
        <v>3</v>
      </c>
      <c r="I303" s="7">
        <v>4</v>
      </c>
      <c r="J303" s="6"/>
      <c r="K303" s="3" t="s">
        <v>27</v>
      </c>
    </row>
    <row r="304" spans="1:11">
      <c r="A304" s="3" t="s">
        <v>38</v>
      </c>
      <c r="B304" s="3" t="s">
        <v>37</v>
      </c>
      <c r="C304" s="3" t="s">
        <v>87</v>
      </c>
      <c r="D304" s="3" t="s">
        <v>55</v>
      </c>
      <c r="E304" s="7">
        <v>4</v>
      </c>
      <c r="F304" s="7">
        <v>4</v>
      </c>
      <c r="G304" s="7">
        <v>3</v>
      </c>
      <c r="H304" s="7">
        <v>4</v>
      </c>
      <c r="I304" s="7">
        <v>4</v>
      </c>
      <c r="J304" s="6"/>
      <c r="K304" s="3" t="s">
        <v>27</v>
      </c>
    </row>
    <row r="305" spans="1:11">
      <c r="A305" s="3" t="s">
        <v>38</v>
      </c>
      <c r="B305" s="3" t="s">
        <v>37</v>
      </c>
      <c r="C305" s="3" t="s">
        <v>91</v>
      </c>
      <c r="D305" s="3" t="s">
        <v>55</v>
      </c>
      <c r="E305" s="7">
        <v>4</v>
      </c>
      <c r="F305" s="7">
        <v>4</v>
      </c>
      <c r="G305" s="7">
        <v>3</v>
      </c>
      <c r="H305" s="7">
        <v>3</v>
      </c>
      <c r="I305" s="7">
        <v>3</v>
      </c>
      <c r="J305" s="6"/>
      <c r="K305" s="3" t="s">
        <v>27</v>
      </c>
    </row>
    <row r="306" spans="1:11">
      <c r="A306" s="3" t="s">
        <v>38</v>
      </c>
      <c r="B306" s="3" t="s">
        <v>37</v>
      </c>
      <c r="C306" s="3" t="s">
        <v>94</v>
      </c>
      <c r="D306" s="3" t="s">
        <v>55</v>
      </c>
      <c r="E306" s="7">
        <v>4</v>
      </c>
      <c r="F306" s="7">
        <v>4</v>
      </c>
      <c r="G306" s="7">
        <v>4</v>
      </c>
      <c r="H306" s="7">
        <v>4</v>
      </c>
      <c r="I306" s="7">
        <v>4</v>
      </c>
      <c r="J306" s="6"/>
      <c r="K306" s="3" t="s">
        <v>27</v>
      </c>
    </row>
    <row r="307" spans="1:11">
      <c r="A307" s="3" t="s">
        <v>38</v>
      </c>
      <c r="B307" s="3" t="s">
        <v>37</v>
      </c>
      <c r="C307" s="3" t="s">
        <v>97</v>
      </c>
      <c r="D307" s="3" t="s">
        <v>55</v>
      </c>
      <c r="E307" s="7">
        <v>3</v>
      </c>
      <c r="F307" s="7">
        <v>3</v>
      </c>
      <c r="G307" s="7">
        <v>2</v>
      </c>
      <c r="H307" s="7">
        <v>3</v>
      </c>
      <c r="I307" s="7">
        <v>3</v>
      </c>
      <c r="J307" s="6"/>
      <c r="K307" s="3" t="s">
        <v>27</v>
      </c>
    </row>
    <row r="308" spans="1:11">
      <c r="A308" s="3" t="s">
        <v>38</v>
      </c>
      <c r="B308" s="3" t="s">
        <v>37</v>
      </c>
      <c r="C308" s="3" t="s">
        <v>100</v>
      </c>
      <c r="D308" s="3" t="s">
        <v>55</v>
      </c>
      <c r="E308" s="7">
        <v>3</v>
      </c>
      <c r="F308" s="7">
        <v>4</v>
      </c>
      <c r="G308" s="7">
        <v>3</v>
      </c>
      <c r="H308" s="7">
        <v>3</v>
      </c>
      <c r="I308" s="7">
        <v>4</v>
      </c>
      <c r="J308" s="6"/>
      <c r="K308" s="3" t="s">
        <v>27</v>
      </c>
    </row>
    <row r="309" spans="1:11">
      <c r="A309" s="3" t="s">
        <v>38</v>
      </c>
      <c r="B309" s="3" t="s">
        <v>37</v>
      </c>
      <c r="C309" s="3" t="s">
        <v>103</v>
      </c>
      <c r="D309" s="3" t="s">
        <v>55</v>
      </c>
      <c r="E309" s="7">
        <v>3</v>
      </c>
      <c r="F309" s="7">
        <v>4</v>
      </c>
      <c r="G309" s="7">
        <v>4</v>
      </c>
      <c r="H309" s="7">
        <v>3</v>
      </c>
      <c r="I309" s="7">
        <v>3</v>
      </c>
      <c r="J309" s="6"/>
      <c r="K309" s="3" t="s">
        <v>27</v>
      </c>
    </row>
    <row r="310" spans="1:11">
      <c r="A310" s="3" t="s">
        <v>38</v>
      </c>
      <c r="B310" s="3" t="s">
        <v>37</v>
      </c>
      <c r="C310" s="3" t="s">
        <v>106</v>
      </c>
      <c r="D310" s="3" t="s">
        <v>55</v>
      </c>
      <c r="E310" s="7">
        <v>4</v>
      </c>
      <c r="F310" s="7">
        <v>4</v>
      </c>
      <c r="G310" s="7">
        <v>4</v>
      </c>
      <c r="H310" s="7">
        <v>3</v>
      </c>
      <c r="I310" s="7">
        <v>4</v>
      </c>
      <c r="J310" s="6"/>
      <c r="K310" s="3" t="s">
        <v>27</v>
      </c>
    </row>
    <row r="311" spans="1:11">
      <c r="A311" s="3" t="s">
        <v>38</v>
      </c>
      <c r="B311" s="3" t="s">
        <v>37</v>
      </c>
      <c r="C311" s="3" t="s">
        <v>109</v>
      </c>
      <c r="D311" s="3" t="s">
        <v>55</v>
      </c>
      <c r="E311" s="7">
        <v>4</v>
      </c>
      <c r="F311" s="7">
        <v>4</v>
      </c>
      <c r="G311" s="7">
        <v>3</v>
      </c>
      <c r="H311" s="7">
        <v>4</v>
      </c>
      <c r="I311" s="7">
        <v>4</v>
      </c>
      <c r="J311" s="6"/>
      <c r="K311" s="3" t="s">
        <v>27</v>
      </c>
    </row>
    <row r="312" spans="1:11">
      <c r="A312" s="3" t="s">
        <v>38</v>
      </c>
      <c r="B312" s="3" t="s">
        <v>37</v>
      </c>
      <c r="C312" s="3" t="s">
        <v>113</v>
      </c>
      <c r="D312" s="3" t="s">
        <v>55</v>
      </c>
      <c r="E312" s="7">
        <v>4</v>
      </c>
      <c r="F312" s="7">
        <v>3</v>
      </c>
      <c r="G312" s="7">
        <v>4</v>
      </c>
      <c r="H312" s="7">
        <v>3</v>
      </c>
      <c r="I312" s="7">
        <v>4</v>
      </c>
      <c r="J312" s="6" t="s">
        <v>235</v>
      </c>
      <c r="K312" s="3" t="s">
        <v>27</v>
      </c>
    </row>
    <row r="313" spans="1:11">
      <c r="A313" s="3" t="s">
        <v>38</v>
      </c>
      <c r="B313" s="3" t="s">
        <v>37</v>
      </c>
      <c r="C313" s="3" t="s">
        <v>116</v>
      </c>
      <c r="D313" s="3" t="s">
        <v>55</v>
      </c>
      <c r="E313" s="7">
        <v>4</v>
      </c>
      <c r="F313" s="7">
        <v>4</v>
      </c>
      <c r="G313" s="7">
        <v>4</v>
      </c>
      <c r="H313" s="7">
        <v>4</v>
      </c>
      <c r="I313" s="7">
        <v>4</v>
      </c>
      <c r="J313" s="6"/>
      <c r="K313" s="3" t="s">
        <v>27</v>
      </c>
    </row>
    <row r="314" spans="1:11">
      <c r="A314" s="3" t="s">
        <v>38</v>
      </c>
      <c r="B314" s="3" t="s">
        <v>37</v>
      </c>
      <c r="C314" s="3" t="s">
        <v>119</v>
      </c>
      <c r="D314" s="3" t="s">
        <v>55</v>
      </c>
      <c r="E314" s="7">
        <v>3</v>
      </c>
      <c r="F314" s="7">
        <v>3</v>
      </c>
      <c r="G314" s="7">
        <v>4</v>
      </c>
      <c r="H314" s="7">
        <v>3</v>
      </c>
      <c r="I314" s="7">
        <v>4</v>
      </c>
      <c r="J314" s="6"/>
      <c r="K314" s="3" t="s">
        <v>27</v>
      </c>
    </row>
    <row r="315" spans="1:11">
      <c r="A315" s="3" t="s">
        <v>38</v>
      </c>
      <c r="B315" s="3" t="s">
        <v>37</v>
      </c>
      <c r="C315" s="3" t="s">
        <v>122</v>
      </c>
      <c r="D315" s="3" t="s">
        <v>55</v>
      </c>
      <c r="E315" s="7">
        <v>4</v>
      </c>
      <c r="F315" s="7">
        <v>4</v>
      </c>
      <c r="G315" s="7">
        <v>3</v>
      </c>
      <c r="H315" s="7">
        <v>3</v>
      </c>
      <c r="I315" s="7">
        <v>4</v>
      </c>
      <c r="J315" s="6"/>
      <c r="K315" s="3" t="s">
        <v>27</v>
      </c>
    </row>
    <row r="316" spans="1:11">
      <c r="A316" s="3" t="s">
        <v>38</v>
      </c>
      <c r="B316" s="3" t="s">
        <v>37</v>
      </c>
      <c r="C316" s="3" t="s">
        <v>125</v>
      </c>
      <c r="D316" s="3" t="s">
        <v>126</v>
      </c>
      <c r="E316" s="7">
        <v>3</v>
      </c>
      <c r="F316" s="7">
        <v>3</v>
      </c>
      <c r="G316" s="7">
        <v>4</v>
      </c>
      <c r="H316" s="7">
        <v>4</v>
      </c>
      <c r="I316" s="7">
        <v>4</v>
      </c>
      <c r="J316" s="6"/>
      <c r="K316" s="3" t="s">
        <v>27</v>
      </c>
    </row>
    <row r="317" spans="1:11">
      <c r="A317" s="3" t="s">
        <v>38</v>
      </c>
      <c r="B317" s="3" t="s">
        <v>37</v>
      </c>
      <c r="C317" s="3" t="s">
        <v>132</v>
      </c>
      <c r="D317" s="3" t="s">
        <v>126</v>
      </c>
      <c r="E317" s="7">
        <v>4</v>
      </c>
      <c r="F317" s="7">
        <v>4</v>
      </c>
      <c r="G317" s="7">
        <v>4</v>
      </c>
      <c r="H317" s="7">
        <v>3</v>
      </c>
      <c r="I317" s="7">
        <v>4</v>
      </c>
      <c r="J317" s="6"/>
      <c r="K317" s="3" t="s">
        <v>27</v>
      </c>
    </row>
    <row r="318" spans="1:11">
      <c r="A318" s="3" t="s">
        <v>38</v>
      </c>
      <c r="B318" s="3" t="s">
        <v>37</v>
      </c>
      <c r="C318" s="3" t="s">
        <v>135</v>
      </c>
      <c r="D318" s="3" t="s">
        <v>126</v>
      </c>
      <c r="E318" s="7">
        <v>4</v>
      </c>
      <c r="F318" s="7">
        <v>4</v>
      </c>
      <c r="G318" s="7">
        <v>4</v>
      </c>
      <c r="H318" s="7">
        <v>4</v>
      </c>
      <c r="I318" s="7">
        <v>4</v>
      </c>
      <c r="J318" s="6" t="s">
        <v>236</v>
      </c>
      <c r="K318" s="3" t="s">
        <v>27</v>
      </c>
    </row>
    <row r="319" spans="1:11">
      <c r="A319" s="3" t="s">
        <v>38</v>
      </c>
      <c r="B319" s="3" t="s">
        <v>37</v>
      </c>
      <c r="C319" s="3" t="s">
        <v>138</v>
      </c>
      <c r="D319" s="3" t="s">
        <v>126</v>
      </c>
      <c r="E319" s="7">
        <v>4</v>
      </c>
      <c r="F319" s="7">
        <v>4</v>
      </c>
      <c r="G319" s="7">
        <v>4</v>
      </c>
      <c r="H319" s="7">
        <v>4</v>
      </c>
      <c r="I319" s="7">
        <v>4</v>
      </c>
      <c r="J319" s="6"/>
      <c r="K319" s="3" t="s">
        <v>27</v>
      </c>
    </row>
    <row r="320" spans="1:11">
      <c r="A320" s="3" t="s">
        <v>38</v>
      </c>
      <c r="B320" s="3" t="s">
        <v>37</v>
      </c>
      <c r="C320" s="3" t="s">
        <v>141</v>
      </c>
      <c r="D320" s="3" t="s">
        <v>126</v>
      </c>
      <c r="E320" s="7">
        <v>4</v>
      </c>
      <c r="F320" s="7">
        <v>4</v>
      </c>
      <c r="G320" s="7">
        <v>3</v>
      </c>
      <c r="H320" s="7">
        <v>2</v>
      </c>
      <c r="I320" s="7">
        <v>3</v>
      </c>
      <c r="J320" s="6"/>
      <c r="K320" s="3" t="s">
        <v>27</v>
      </c>
    </row>
    <row r="321" spans="1:11">
      <c r="A321" s="3" t="s">
        <v>38</v>
      </c>
      <c r="B321" s="3" t="s">
        <v>37</v>
      </c>
      <c r="C321" s="3" t="s">
        <v>144</v>
      </c>
      <c r="D321" s="3" t="s">
        <v>126</v>
      </c>
      <c r="E321" s="7">
        <v>4</v>
      </c>
      <c r="F321" s="7">
        <v>4</v>
      </c>
      <c r="G321" s="7">
        <v>2</v>
      </c>
      <c r="H321" s="7">
        <v>3</v>
      </c>
      <c r="I321" s="7">
        <v>4</v>
      </c>
      <c r="J321" s="6"/>
      <c r="K321" s="3" t="s">
        <v>27</v>
      </c>
    </row>
    <row r="322" spans="1:11">
      <c r="A322" s="3" t="s">
        <v>38</v>
      </c>
      <c r="B322" s="3" t="s">
        <v>37</v>
      </c>
      <c r="C322" s="3" t="s">
        <v>147</v>
      </c>
      <c r="D322" s="3" t="s">
        <v>126</v>
      </c>
      <c r="E322" s="7">
        <v>3</v>
      </c>
      <c r="F322" s="7">
        <v>4</v>
      </c>
      <c r="G322" s="7">
        <v>3</v>
      </c>
      <c r="H322" s="7">
        <v>3</v>
      </c>
      <c r="I322" s="7">
        <v>3</v>
      </c>
      <c r="J322" s="6"/>
      <c r="K322" s="3" t="s">
        <v>27</v>
      </c>
    </row>
    <row r="323" spans="1:11">
      <c r="A323" s="3" t="s">
        <v>38</v>
      </c>
      <c r="B323" s="3" t="s">
        <v>37</v>
      </c>
      <c r="C323" s="3" t="s">
        <v>150</v>
      </c>
      <c r="D323" s="3" t="s">
        <v>126</v>
      </c>
      <c r="E323" s="7">
        <v>3</v>
      </c>
      <c r="F323" s="7">
        <v>4</v>
      </c>
      <c r="G323" s="7">
        <v>4</v>
      </c>
      <c r="H323" s="7">
        <v>3</v>
      </c>
      <c r="I323" s="7">
        <v>4</v>
      </c>
      <c r="J323" s="6"/>
      <c r="K323" s="3" t="s">
        <v>27</v>
      </c>
    </row>
    <row r="324" spans="1:11">
      <c r="A324" s="3" t="s">
        <v>38</v>
      </c>
      <c r="B324" s="3" t="s">
        <v>37</v>
      </c>
      <c r="C324" s="3" t="s">
        <v>153</v>
      </c>
      <c r="D324" s="3" t="s">
        <v>126</v>
      </c>
      <c r="E324" s="7">
        <v>4</v>
      </c>
      <c r="F324" s="7">
        <v>4</v>
      </c>
      <c r="G324" s="7">
        <v>3</v>
      </c>
      <c r="H324" s="7">
        <v>3</v>
      </c>
      <c r="I324" s="7">
        <v>4</v>
      </c>
      <c r="J324" s="6"/>
      <c r="K324" s="3" t="s">
        <v>27</v>
      </c>
    </row>
    <row r="325" spans="1:11">
      <c r="A325" s="3" t="s">
        <v>38</v>
      </c>
      <c r="B325" s="3" t="s">
        <v>37</v>
      </c>
      <c r="C325" s="3" t="s">
        <v>156</v>
      </c>
      <c r="D325" s="3" t="s">
        <v>157</v>
      </c>
      <c r="E325" s="7">
        <v>4</v>
      </c>
      <c r="F325" s="7">
        <v>4</v>
      </c>
      <c r="G325" s="7">
        <v>3</v>
      </c>
      <c r="H325" s="7">
        <v>4</v>
      </c>
      <c r="I325" s="7">
        <v>4</v>
      </c>
      <c r="J325" s="6" t="s">
        <v>237</v>
      </c>
      <c r="K325" s="3" t="s">
        <v>27</v>
      </c>
    </row>
    <row r="326" spans="1:11">
      <c r="A326" s="3" t="s">
        <v>38</v>
      </c>
      <c r="B326" s="3" t="s">
        <v>37</v>
      </c>
      <c r="C326" s="3" t="s">
        <v>162</v>
      </c>
      <c r="D326" s="3" t="s">
        <v>157</v>
      </c>
      <c r="E326" s="7">
        <v>4</v>
      </c>
      <c r="F326" s="7">
        <v>4</v>
      </c>
      <c r="G326" s="7">
        <v>4</v>
      </c>
      <c r="H326" s="7">
        <v>4</v>
      </c>
      <c r="I326" s="7">
        <v>3</v>
      </c>
      <c r="J326" s="6"/>
      <c r="K326" s="3" t="s">
        <v>27</v>
      </c>
    </row>
    <row r="327" spans="1:11">
      <c r="A327" s="3" t="s">
        <v>38</v>
      </c>
      <c r="B327" s="3" t="s">
        <v>37</v>
      </c>
      <c r="C327" s="3" t="s">
        <v>165</v>
      </c>
      <c r="D327" s="3" t="s">
        <v>157</v>
      </c>
      <c r="E327" s="7">
        <v>3</v>
      </c>
      <c r="F327" s="7">
        <v>4</v>
      </c>
      <c r="G327" s="7">
        <v>4</v>
      </c>
      <c r="H327" s="7">
        <v>3</v>
      </c>
      <c r="I327" s="7">
        <v>4</v>
      </c>
      <c r="J327" s="6"/>
      <c r="K327" s="3" t="s">
        <v>27</v>
      </c>
    </row>
    <row r="328" spans="1:11">
      <c r="A328" s="3" t="s">
        <v>38</v>
      </c>
      <c r="B328" s="3" t="s">
        <v>37</v>
      </c>
      <c r="C328" s="3" t="s">
        <v>168</v>
      </c>
      <c r="D328" s="3" t="s">
        <v>157</v>
      </c>
      <c r="E328" s="7">
        <v>4</v>
      </c>
      <c r="F328" s="7">
        <v>3</v>
      </c>
      <c r="G328" s="7">
        <v>4</v>
      </c>
      <c r="H328" s="7">
        <v>3</v>
      </c>
      <c r="I328" s="7">
        <v>4</v>
      </c>
      <c r="J328" s="6"/>
      <c r="K328" s="3" t="s">
        <v>27</v>
      </c>
    </row>
    <row r="329" spans="1:11">
      <c r="A329" s="3" t="s">
        <v>38</v>
      </c>
      <c r="B329" s="3" t="s">
        <v>37</v>
      </c>
      <c r="C329" s="3" t="s">
        <v>25</v>
      </c>
      <c r="D329" s="3" t="s">
        <v>171</v>
      </c>
      <c r="E329" s="7">
        <v>4</v>
      </c>
      <c r="F329" s="7">
        <v>4</v>
      </c>
      <c r="G329" s="7">
        <v>3</v>
      </c>
      <c r="H329" s="7">
        <v>3</v>
      </c>
      <c r="I329" s="7">
        <v>4</v>
      </c>
      <c r="J329" s="6"/>
      <c r="K329" s="3" t="s">
        <v>27</v>
      </c>
    </row>
    <row r="330" spans="1:11">
      <c r="A330" s="3" t="s">
        <v>38</v>
      </c>
      <c r="B330" s="3" t="s">
        <v>37</v>
      </c>
      <c r="C330" s="3" t="s">
        <v>31</v>
      </c>
      <c r="D330" s="3" t="s">
        <v>171</v>
      </c>
      <c r="E330" s="7">
        <v>4</v>
      </c>
      <c r="F330" s="7">
        <v>3</v>
      </c>
      <c r="G330" s="7">
        <v>3</v>
      </c>
      <c r="H330" s="7">
        <v>4</v>
      </c>
      <c r="I330" s="7">
        <v>4</v>
      </c>
      <c r="J330" s="6"/>
      <c r="K330" s="3" t="s">
        <v>27</v>
      </c>
    </row>
    <row r="331" spans="1:11">
      <c r="A331" s="3" t="s">
        <v>38</v>
      </c>
      <c r="B331" s="3" t="s">
        <v>37</v>
      </c>
      <c r="C331" s="3" t="s">
        <v>32</v>
      </c>
      <c r="D331" s="3" t="s">
        <v>171</v>
      </c>
      <c r="E331" s="7">
        <v>3</v>
      </c>
      <c r="F331" s="7">
        <v>4</v>
      </c>
      <c r="G331" s="7">
        <v>4</v>
      </c>
      <c r="H331" s="7">
        <v>4</v>
      </c>
      <c r="I331" s="7">
        <v>4</v>
      </c>
      <c r="J331" s="6"/>
      <c r="K331" s="3" t="s">
        <v>27</v>
      </c>
    </row>
    <row r="332" spans="1:11">
      <c r="A332" s="3" t="s">
        <v>38</v>
      </c>
      <c r="B332" s="3" t="s">
        <v>37</v>
      </c>
      <c r="C332" s="3" t="s">
        <v>33</v>
      </c>
      <c r="D332" s="3" t="s">
        <v>171</v>
      </c>
      <c r="E332" s="7">
        <v>4</v>
      </c>
      <c r="F332" s="7">
        <v>4</v>
      </c>
      <c r="G332" s="7">
        <v>4</v>
      </c>
      <c r="H332" s="7">
        <v>4</v>
      </c>
      <c r="I332" s="7">
        <v>4</v>
      </c>
      <c r="J332" s="6"/>
      <c r="K332" s="3" t="s">
        <v>27</v>
      </c>
    </row>
    <row r="333" spans="1:11">
      <c r="A333" s="3" t="s">
        <v>38</v>
      </c>
      <c r="B333" s="3" t="s">
        <v>37</v>
      </c>
      <c r="C333" s="3" t="s">
        <v>34</v>
      </c>
      <c r="D333" s="3" t="s">
        <v>171</v>
      </c>
      <c r="E333" s="7">
        <v>4</v>
      </c>
      <c r="F333" s="7">
        <v>4</v>
      </c>
      <c r="G333" s="7">
        <v>3</v>
      </c>
      <c r="H333" s="7">
        <v>4</v>
      </c>
      <c r="I333" s="7">
        <v>4</v>
      </c>
      <c r="J333" s="6"/>
      <c r="K333" s="3" t="s">
        <v>27</v>
      </c>
    </row>
    <row r="334" spans="1:11">
      <c r="A334" s="3" t="s">
        <v>38</v>
      </c>
      <c r="B334" s="3" t="s">
        <v>37</v>
      </c>
      <c r="C334" s="3" t="s">
        <v>35</v>
      </c>
      <c r="D334" s="3" t="s">
        <v>171</v>
      </c>
      <c r="E334" s="7">
        <v>4</v>
      </c>
      <c r="F334" s="7">
        <v>4</v>
      </c>
      <c r="G334" s="7">
        <v>3</v>
      </c>
      <c r="H334" s="7">
        <v>3</v>
      </c>
      <c r="I334" s="7">
        <v>3</v>
      </c>
      <c r="J334" s="6"/>
      <c r="K334" s="3" t="s">
        <v>27</v>
      </c>
    </row>
    <row r="335" spans="1:11">
      <c r="A335" s="3" t="s">
        <v>38</v>
      </c>
      <c r="B335" s="3" t="s">
        <v>37</v>
      </c>
      <c r="C335" s="3" t="s">
        <v>186</v>
      </c>
      <c r="D335" s="3" t="s">
        <v>171</v>
      </c>
      <c r="E335" s="7">
        <v>4</v>
      </c>
      <c r="F335" s="7">
        <v>3</v>
      </c>
      <c r="G335" s="7">
        <v>3</v>
      </c>
      <c r="H335" s="7">
        <v>4</v>
      </c>
      <c r="I335" s="7">
        <v>4</v>
      </c>
      <c r="J335" s="6"/>
      <c r="K335" s="3" t="s">
        <v>27</v>
      </c>
    </row>
    <row r="336" spans="1:11">
      <c r="A336" s="3" t="s">
        <v>38</v>
      </c>
      <c r="B336" s="3" t="s">
        <v>37</v>
      </c>
      <c r="C336" s="3" t="s">
        <v>189</v>
      </c>
      <c r="D336" s="3" t="s">
        <v>171</v>
      </c>
      <c r="E336" s="7">
        <v>3</v>
      </c>
      <c r="F336" s="7">
        <v>3</v>
      </c>
      <c r="G336" s="7">
        <v>2</v>
      </c>
      <c r="H336" s="7">
        <v>3</v>
      </c>
      <c r="I336" s="7">
        <v>4</v>
      </c>
      <c r="J336" s="6"/>
      <c r="K336" s="3" t="s">
        <v>27</v>
      </c>
    </row>
    <row r="337" spans="1:11">
      <c r="A337" s="3" t="s">
        <v>38</v>
      </c>
      <c r="B337" s="3" t="s">
        <v>37</v>
      </c>
      <c r="C337" s="3" t="s">
        <v>192</v>
      </c>
      <c r="D337" s="3" t="s">
        <v>171</v>
      </c>
      <c r="E337" s="7">
        <v>3</v>
      </c>
      <c r="F337" s="7">
        <v>4</v>
      </c>
      <c r="G337" s="7">
        <v>3</v>
      </c>
      <c r="H337" s="7">
        <v>3</v>
      </c>
      <c r="I337" s="7">
        <v>3</v>
      </c>
      <c r="J337" s="6"/>
      <c r="K337" s="3" t="s">
        <v>27</v>
      </c>
    </row>
    <row r="338" spans="1:11">
      <c r="A338" s="3" t="s">
        <v>39</v>
      </c>
      <c r="B338" s="3" t="s">
        <v>37</v>
      </c>
      <c r="C338" s="3" t="s">
        <v>54</v>
      </c>
      <c r="D338" s="3" t="s">
        <v>55</v>
      </c>
      <c r="E338" s="7">
        <v>4</v>
      </c>
      <c r="F338" s="7">
        <v>4</v>
      </c>
      <c r="G338" s="7">
        <v>3</v>
      </c>
      <c r="H338" s="7">
        <v>4</v>
      </c>
      <c r="I338" s="7">
        <v>4</v>
      </c>
      <c r="J338" s="6"/>
      <c r="K338" s="3" t="s">
        <v>27</v>
      </c>
    </row>
    <row r="339" spans="1:11">
      <c r="A339" s="3" t="s">
        <v>39</v>
      </c>
      <c r="B339" s="3" t="s">
        <v>37</v>
      </c>
      <c r="C339" s="3" t="s">
        <v>64</v>
      </c>
      <c r="D339" s="3" t="s">
        <v>55</v>
      </c>
      <c r="E339" s="7">
        <v>4</v>
      </c>
      <c r="F339" s="7">
        <v>4</v>
      </c>
      <c r="G339" s="7">
        <v>3</v>
      </c>
      <c r="H339" s="7">
        <v>3</v>
      </c>
      <c r="I339" s="7">
        <v>3</v>
      </c>
      <c r="J339" s="6"/>
      <c r="K339" s="3" t="s">
        <v>27</v>
      </c>
    </row>
    <row r="340" spans="1:11">
      <c r="A340" s="3" t="s">
        <v>39</v>
      </c>
      <c r="B340" s="3" t="s">
        <v>37</v>
      </c>
      <c r="C340" s="3" t="s">
        <v>67</v>
      </c>
      <c r="D340" s="3" t="s">
        <v>55</v>
      </c>
      <c r="E340" s="7">
        <v>4</v>
      </c>
      <c r="F340" s="7">
        <v>3</v>
      </c>
      <c r="G340" s="7">
        <v>3</v>
      </c>
      <c r="H340" s="7">
        <v>4</v>
      </c>
      <c r="I340" s="7">
        <v>4</v>
      </c>
      <c r="J340" s="6"/>
      <c r="K340" s="3" t="s">
        <v>27</v>
      </c>
    </row>
    <row r="341" spans="1:11">
      <c r="A341" s="3" t="s">
        <v>39</v>
      </c>
      <c r="B341" s="3" t="s">
        <v>37</v>
      </c>
      <c r="C341" s="3" t="s">
        <v>70</v>
      </c>
      <c r="D341" s="3" t="s">
        <v>55</v>
      </c>
      <c r="E341" s="7">
        <v>3</v>
      </c>
      <c r="F341" s="7">
        <v>4</v>
      </c>
      <c r="G341" s="7">
        <v>4</v>
      </c>
      <c r="H341" s="7">
        <v>4</v>
      </c>
      <c r="I341" s="7">
        <v>4</v>
      </c>
      <c r="J341" s="6"/>
      <c r="K341" s="3" t="s">
        <v>27</v>
      </c>
    </row>
    <row r="342" spans="1:11">
      <c r="A342" s="3" t="s">
        <v>39</v>
      </c>
      <c r="B342" s="3" t="s">
        <v>37</v>
      </c>
      <c r="C342" s="3" t="s">
        <v>74</v>
      </c>
      <c r="D342" s="3" t="s">
        <v>55</v>
      </c>
      <c r="E342" s="7">
        <v>4</v>
      </c>
      <c r="F342" s="7">
        <v>4</v>
      </c>
      <c r="G342" s="7">
        <v>3</v>
      </c>
      <c r="H342" s="7">
        <v>3</v>
      </c>
      <c r="I342" s="7">
        <v>4</v>
      </c>
      <c r="J342" s="6"/>
      <c r="K342" s="3" t="s">
        <v>27</v>
      </c>
    </row>
    <row r="343" spans="1:11">
      <c r="A343" s="3" t="s">
        <v>39</v>
      </c>
      <c r="B343" s="3" t="s">
        <v>37</v>
      </c>
      <c r="C343" s="3" t="s">
        <v>77</v>
      </c>
      <c r="D343" s="3" t="s">
        <v>55</v>
      </c>
      <c r="E343" s="7">
        <v>4</v>
      </c>
      <c r="F343" s="7">
        <v>4</v>
      </c>
      <c r="G343" s="7">
        <v>4</v>
      </c>
      <c r="H343" s="7">
        <v>3</v>
      </c>
      <c r="I343" s="7">
        <v>4</v>
      </c>
      <c r="J343" s="6"/>
      <c r="K343" s="3" t="s">
        <v>27</v>
      </c>
    </row>
    <row r="344" spans="1:11">
      <c r="A344" s="3" t="s">
        <v>39</v>
      </c>
      <c r="B344" s="3" t="s">
        <v>37</v>
      </c>
      <c r="C344" s="3" t="s">
        <v>80</v>
      </c>
      <c r="D344" s="3" t="s">
        <v>55</v>
      </c>
      <c r="E344" s="7">
        <v>3</v>
      </c>
      <c r="F344" s="7">
        <v>3</v>
      </c>
      <c r="G344" s="7">
        <v>4</v>
      </c>
      <c r="H344" s="7">
        <v>3</v>
      </c>
      <c r="I344" s="7">
        <v>4</v>
      </c>
      <c r="J344" s="6"/>
      <c r="K344" s="3" t="s">
        <v>27</v>
      </c>
    </row>
    <row r="345" spans="1:11">
      <c r="A345" s="3" t="s">
        <v>39</v>
      </c>
      <c r="B345" s="3" t="s">
        <v>37</v>
      </c>
      <c r="C345" s="3" t="s">
        <v>83</v>
      </c>
      <c r="D345" s="3" t="s">
        <v>55</v>
      </c>
      <c r="E345" s="7">
        <v>4</v>
      </c>
      <c r="F345" s="7">
        <v>3</v>
      </c>
      <c r="G345" s="7">
        <v>3</v>
      </c>
      <c r="H345" s="7">
        <v>3</v>
      </c>
      <c r="I345" s="7">
        <v>4</v>
      </c>
      <c r="J345" s="6"/>
      <c r="K345" s="3" t="s">
        <v>27</v>
      </c>
    </row>
    <row r="346" spans="1:11">
      <c r="A346" s="3" t="s">
        <v>39</v>
      </c>
      <c r="B346" s="3" t="s">
        <v>37</v>
      </c>
      <c r="C346" s="3" t="s">
        <v>87</v>
      </c>
      <c r="D346" s="3" t="s">
        <v>55</v>
      </c>
      <c r="E346" s="7">
        <v>4</v>
      </c>
      <c r="F346" s="7">
        <v>4</v>
      </c>
      <c r="G346" s="7">
        <v>4</v>
      </c>
      <c r="H346" s="7">
        <v>3</v>
      </c>
      <c r="I346" s="7">
        <v>4</v>
      </c>
      <c r="J346" s="6"/>
      <c r="K346" s="3" t="s">
        <v>27</v>
      </c>
    </row>
    <row r="347" ht="28.8" spans="1:11">
      <c r="A347" s="3" t="s">
        <v>39</v>
      </c>
      <c r="B347" s="3" t="s">
        <v>37</v>
      </c>
      <c r="C347" s="3" t="s">
        <v>91</v>
      </c>
      <c r="D347" s="3" t="s">
        <v>55</v>
      </c>
      <c r="E347" s="7">
        <v>4</v>
      </c>
      <c r="F347" s="7">
        <v>4</v>
      </c>
      <c r="G347" s="7">
        <v>4</v>
      </c>
      <c r="H347" s="7">
        <v>4</v>
      </c>
      <c r="I347" s="7">
        <v>4</v>
      </c>
      <c r="J347" s="6" t="s">
        <v>238</v>
      </c>
      <c r="K347" s="3" t="s">
        <v>27</v>
      </c>
    </row>
    <row r="348" spans="1:11">
      <c r="A348" s="3" t="s">
        <v>39</v>
      </c>
      <c r="B348" s="3" t="s">
        <v>37</v>
      </c>
      <c r="C348" s="3" t="s">
        <v>94</v>
      </c>
      <c r="D348" s="3" t="s">
        <v>55</v>
      </c>
      <c r="E348" s="7">
        <v>4</v>
      </c>
      <c r="F348" s="7">
        <v>4</v>
      </c>
      <c r="G348" s="7">
        <v>4</v>
      </c>
      <c r="H348" s="7">
        <v>4</v>
      </c>
      <c r="I348" s="7">
        <v>4</v>
      </c>
      <c r="J348" s="6"/>
      <c r="K348" s="3" t="s">
        <v>27</v>
      </c>
    </row>
    <row r="349" spans="1:11">
      <c r="A349" s="3" t="s">
        <v>39</v>
      </c>
      <c r="B349" s="3" t="s">
        <v>37</v>
      </c>
      <c r="C349" s="3" t="s">
        <v>97</v>
      </c>
      <c r="D349" s="3" t="s">
        <v>55</v>
      </c>
      <c r="E349" s="7">
        <v>4</v>
      </c>
      <c r="F349" s="7">
        <v>4</v>
      </c>
      <c r="G349" s="7">
        <v>4</v>
      </c>
      <c r="H349" s="7">
        <v>3</v>
      </c>
      <c r="I349" s="7">
        <v>4</v>
      </c>
      <c r="J349" s="6" t="s">
        <v>239</v>
      </c>
      <c r="K349" s="3" t="s">
        <v>27</v>
      </c>
    </row>
    <row r="350" spans="1:11">
      <c r="A350" s="3" t="s">
        <v>39</v>
      </c>
      <c r="B350" s="3" t="s">
        <v>37</v>
      </c>
      <c r="C350" s="3" t="s">
        <v>100</v>
      </c>
      <c r="D350" s="3" t="s">
        <v>55</v>
      </c>
      <c r="E350" s="7">
        <v>3</v>
      </c>
      <c r="F350" s="7">
        <v>4</v>
      </c>
      <c r="G350" s="7">
        <v>4</v>
      </c>
      <c r="H350" s="7">
        <v>3</v>
      </c>
      <c r="I350" s="7">
        <v>4</v>
      </c>
      <c r="J350" s="6"/>
      <c r="K350" s="3" t="s">
        <v>27</v>
      </c>
    </row>
    <row r="351" spans="1:11">
      <c r="A351" s="3" t="s">
        <v>39</v>
      </c>
      <c r="B351" s="3" t="s">
        <v>37</v>
      </c>
      <c r="C351" s="3" t="s">
        <v>103</v>
      </c>
      <c r="D351" s="3" t="s">
        <v>55</v>
      </c>
      <c r="E351" s="7">
        <v>3</v>
      </c>
      <c r="F351" s="7">
        <v>3</v>
      </c>
      <c r="G351" s="7">
        <v>4</v>
      </c>
      <c r="H351" s="7">
        <v>3</v>
      </c>
      <c r="I351" s="7">
        <v>4</v>
      </c>
      <c r="J351" s="6"/>
      <c r="K351" s="3" t="s">
        <v>27</v>
      </c>
    </row>
    <row r="352" spans="1:11">
      <c r="A352" s="3" t="s">
        <v>39</v>
      </c>
      <c r="B352" s="3" t="s">
        <v>37</v>
      </c>
      <c r="C352" s="3" t="s">
        <v>106</v>
      </c>
      <c r="D352" s="3" t="s">
        <v>55</v>
      </c>
      <c r="E352" s="7">
        <v>4</v>
      </c>
      <c r="F352" s="7">
        <v>4</v>
      </c>
      <c r="G352" s="7">
        <v>4</v>
      </c>
      <c r="H352" s="7">
        <v>3</v>
      </c>
      <c r="I352" s="7">
        <v>3</v>
      </c>
      <c r="J352" s="6" t="s">
        <v>240</v>
      </c>
      <c r="K352" s="3" t="s">
        <v>27</v>
      </c>
    </row>
    <row r="353" spans="1:11">
      <c r="A353" s="3" t="s">
        <v>39</v>
      </c>
      <c r="B353" s="3" t="s">
        <v>37</v>
      </c>
      <c r="C353" s="3" t="s">
        <v>109</v>
      </c>
      <c r="D353" s="3" t="s">
        <v>55</v>
      </c>
      <c r="E353" s="7">
        <v>4</v>
      </c>
      <c r="F353" s="7">
        <v>4</v>
      </c>
      <c r="G353" s="7">
        <v>4</v>
      </c>
      <c r="H353" s="7">
        <v>4</v>
      </c>
      <c r="I353" s="7">
        <v>3</v>
      </c>
      <c r="J353" s="6"/>
      <c r="K353" s="3" t="s">
        <v>27</v>
      </c>
    </row>
    <row r="354" spans="1:11">
      <c r="A354" s="3" t="s">
        <v>39</v>
      </c>
      <c r="B354" s="3" t="s">
        <v>37</v>
      </c>
      <c r="C354" s="3" t="s">
        <v>113</v>
      </c>
      <c r="D354" s="3" t="s">
        <v>55</v>
      </c>
      <c r="E354" s="7">
        <v>3</v>
      </c>
      <c r="F354" s="7">
        <v>4</v>
      </c>
      <c r="G354" s="7">
        <v>4</v>
      </c>
      <c r="H354" s="7">
        <v>3</v>
      </c>
      <c r="I354" s="7">
        <v>4</v>
      </c>
      <c r="J354" s="6"/>
      <c r="K354" s="3" t="s">
        <v>27</v>
      </c>
    </row>
    <row r="355" spans="1:11">
      <c r="A355" s="3" t="s">
        <v>39</v>
      </c>
      <c r="B355" s="3" t="s">
        <v>37</v>
      </c>
      <c r="C355" s="3" t="s">
        <v>116</v>
      </c>
      <c r="D355" s="3" t="s">
        <v>55</v>
      </c>
      <c r="E355" s="7">
        <v>4</v>
      </c>
      <c r="F355" s="7">
        <v>4</v>
      </c>
      <c r="G355" s="7">
        <v>3</v>
      </c>
      <c r="H355" s="7">
        <v>3</v>
      </c>
      <c r="I355" s="7">
        <v>4</v>
      </c>
      <c r="J355" s="6"/>
      <c r="K355" s="3" t="s">
        <v>27</v>
      </c>
    </row>
    <row r="356" spans="1:11">
      <c r="A356" s="3" t="s">
        <v>39</v>
      </c>
      <c r="B356" s="3" t="s">
        <v>37</v>
      </c>
      <c r="C356" s="3" t="s">
        <v>119</v>
      </c>
      <c r="D356" s="3" t="s">
        <v>55</v>
      </c>
      <c r="E356" s="7">
        <v>4</v>
      </c>
      <c r="F356" s="7">
        <v>3</v>
      </c>
      <c r="G356" s="7">
        <v>3</v>
      </c>
      <c r="H356" s="7">
        <v>3</v>
      </c>
      <c r="I356" s="7">
        <v>3</v>
      </c>
      <c r="J356" s="6"/>
      <c r="K356" s="3" t="s">
        <v>27</v>
      </c>
    </row>
    <row r="357" spans="1:11">
      <c r="A357" s="3" t="s">
        <v>39</v>
      </c>
      <c r="B357" s="3" t="s">
        <v>37</v>
      </c>
      <c r="C357" s="3" t="s">
        <v>122</v>
      </c>
      <c r="D357" s="3" t="s">
        <v>55</v>
      </c>
      <c r="E357" s="7">
        <v>3</v>
      </c>
      <c r="F357" s="7">
        <v>4</v>
      </c>
      <c r="G357" s="7">
        <v>4</v>
      </c>
      <c r="H357" s="7">
        <v>4</v>
      </c>
      <c r="I357" s="7">
        <v>4</v>
      </c>
      <c r="J357" s="6"/>
      <c r="K357" s="3" t="s">
        <v>27</v>
      </c>
    </row>
    <row r="358" spans="1:11">
      <c r="A358" s="3" t="s">
        <v>39</v>
      </c>
      <c r="B358" s="3" t="s">
        <v>37</v>
      </c>
      <c r="C358" s="3" t="s">
        <v>125</v>
      </c>
      <c r="D358" s="3" t="s">
        <v>126</v>
      </c>
      <c r="E358" s="7">
        <v>4</v>
      </c>
      <c r="F358" s="7">
        <v>3</v>
      </c>
      <c r="G358" s="7">
        <v>3</v>
      </c>
      <c r="H358" s="7">
        <v>4</v>
      </c>
      <c r="I358" s="7">
        <v>4</v>
      </c>
      <c r="J358" s="6"/>
      <c r="K358" s="3" t="s">
        <v>27</v>
      </c>
    </row>
    <row r="359" spans="1:11">
      <c r="A359" s="3" t="s">
        <v>39</v>
      </c>
      <c r="B359" s="3" t="s">
        <v>37</v>
      </c>
      <c r="C359" s="3" t="s">
        <v>132</v>
      </c>
      <c r="D359" s="3" t="s">
        <v>126</v>
      </c>
      <c r="E359" s="7">
        <v>4</v>
      </c>
      <c r="F359" s="7">
        <v>4</v>
      </c>
      <c r="G359" s="7">
        <v>4</v>
      </c>
      <c r="H359" s="7">
        <v>4</v>
      </c>
      <c r="I359" s="7">
        <v>4</v>
      </c>
      <c r="J359" s="6"/>
      <c r="K359" s="3" t="s">
        <v>27</v>
      </c>
    </row>
    <row r="360" spans="1:11">
      <c r="A360" s="3" t="s">
        <v>39</v>
      </c>
      <c r="B360" s="3" t="s">
        <v>37</v>
      </c>
      <c r="C360" s="3" t="s">
        <v>135</v>
      </c>
      <c r="D360" s="3" t="s">
        <v>126</v>
      </c>
      <c r="E360" s="7">
        <v>4</v>
      </c>
      <c r="F360" s="7">
        <v>4</v>
      </c>
      <c r="G360" s="7">
        <v>3</v>
      </c>
      <c r="H360" s="7">
        <v>3</v>
      </c>
      <c r="I360" s="7">
        <v>4</v>
      </c>
      <c r="J360" s="6"/>
      <c r="K360" s="3" t="s">
        <v>27</v>
      </c>
    </row>
    <row r="361" spans="1:11">
      <c r="A361" s="3" t="s">
        <v>39</v>
      </c>
      <c r="B361" s="3" t="s">
        <v>37</v>
      </c>
      <c r="C361" s="3" t="s">
        <v>138</v>
      </c>
      <c r="D361" s="3" t="s">
        <v>126</v>
      </c>
      <c r="E361" s="7">
        <v>4</v>
      </c>
      <c r="F361" s="7">
        <v>4</v>
      </c>
      <c r="G361" s="7">
        <v>4</v>
      </c>
      <c r="H361" s="7">
        <v>3</v>
      </c>
      <c r="I361" s="7">
        <v>3</v>
      </c>
      <c r="J361" s="6"/>
      <c r="K361" s="3" t="s">
        <v>27</v>
      </c>
    </row>
    <row r="362" spans="1:11">
      <c r="A362" s="3" t="s">
        <v>39</v>
      </c>
      <c r="B362" s="3" t="s">
        <v>37</v>
      </c>
      <c r="C362" s="3" t="s">
        <v>141</v>
      </c>
      <c r="D362" s="3" t="s">
        <v>126</v>
      </c>
      <c r="E362" s="7">
        <v>3</v>
      </c>
      <c r="F362" s="7">
        <v>4</v>
      </c>
      <c r="G362" s="7">
        <v>4</v>
      </c>
      <c r="H362" s="7">
        <v>3</v>
      </c>
      <c r="I362" s="7">
        <v>4</v>
      </c>
      <c r="J362" s="6"/>
      <c r="K362" s="3" t="s">
        <v>27</v>
      </c>
    </row>
    <row r="363" spans="1:11">
      <c r="A363" s="3" t="s">
        <v>39</v>
      </c>
      <c r="B363" s="3" t="s">
        <v>37</v>
      </c>
      <c r="C363" s="3" t="s">
        <v>144</v>
      </c>
      <c r="D363" s="3" t="s">
        <v>126</v>
      </c>
      <c r="E363" s="7">
        <v>4</v>
      </c>
      <c r="F363" s="7">
        <v>4</v>
      </c>
      <c r="G363" s="7">
        <v>4</v>
      </c>
      <c r="H363" s="7">
        <v>3</v>
      </c>
      <c r="I363" s="7">
        <v>4</v>
      </c>
      <c r="J363" s="6" t="s">
        <v>241</v>
      </c>
      <c r="K363" s="3" t="s">
        <v>27</v>
      </c>
    </row>
    <row r="364" spans="1:11">
      <c r="A364" s="3" t="s">
        <v>39</v>
      </c>
      <c r="B364" s="3" t="s">
        <v>37</v>
      </c>
      <c r="C364" s="3" t="s">
        <v>147</v>
      </c>
      <c r="D364" s="3" t="s">
        <v>126</v>
      </c>
      <c r="E364" s="7">
        <v>3</v>
      </c>
      <c r="F364" s="7">
        <v>3</v>
      </c>
      <c r="G364" s="7">
        <v>3</v>
      </c>
      <c r="H364" s="7">
        <v>3</v>
      </c>
      <c r="I364" s="7">
        <v>4</v>
      </c>
      <c r="J364" s="6"/>
      <c r="K364" s="3" t="s">
        <v>27</v>
      </c>
    </row>
    <row r="365" spans="1:11">
      <c r="A365" s="3" t="s">
        <v>39</v>
      </c>
      <c r="B365" s="3" t="s">
        <v>37</v>
      </c>
      <c r="C365" s="3" t="s">
        <v>150</v>
      </c>
      <c r="D365" s="3" t="s">
        <v>126</v>
      </c>
      <c r="E365" s="7">
        <v>4</v>
      </c>
      <c r="F365" s="7">
        <v>3</v>
      </c>
      <c r="G365" s="7">
        <v>3</v>
      </c>
      <c r="H365" s="7">
        <v>2</v>
      </c>
      <c r="I365" s="7">
        <v>3</v>
      </c>
      <c r="J365" s="6"/>
      <c r="K365" s="3" t="s">
        <v>27</v>
      </c>
    </row>
    <row r="366" spans="1:11">
      <c r="A366" s="3" t="s">
        <v>39</v>
      </c>
      <c r="B366" s="3" t="s">
        <v>37</v>
      </c>
      <c r="C366" s="3" t="s">
        <v>153</v>
      </c>
      <c r="D366" s="3" t="s">
        <v>126</v>
      </c>
      <c r="E366" s="7">
        <v>3</v>
      </c>
      <c r="F366" s="7">
        <v>4</v>
      </c>
      <c r="G366" s="7">
        <v>4</v>
      </c>
      <c r="H366" s="7">
        <v>3</v>
      </c>
      <c r="I366" s="7">
        <v>4</v>
      </c>
      <c r="J366" s="6"/>
      <c r="K366" s="3" t="s">
        <v>27</v>
      </c>
    </row>
    <row r="367" spans="1:11">
      <c r="A367" s="3" t="s">
        <v>39</v>
      </c>
      <c r="B367" s="3" t="s">
        <v>37</v>
      </c>
      <c r="C367" s="3" t="s">
        <v>156</v>
      </c>
      <c r="D367" s="3" t="s">
        <v>157</v>
      </c>
      <c r="E367" s="7">
        <v>3</v>
      </c>
      <c r="F367" s="7">
        <v>3</v>
      </c>
      <c r="G367" s="7">
        <v>4</v>
      </c>
      <c r="H367" s="7">
        <v>4</v>
      </c>
      <c r="I367" s="7">
        <v>4</v>
      </c>
      <c r="J367" s="6"/>
      <c r="K367" s="3" t="s">
        <v>27</v>
      </c>
    </row>
    <row r="368" spans="1:11">
      <c r="A368" s="3" t="s">
        <v>39</v>
      </c>
      <c r="B368" s="3" t="s">
        <v>37</v>
      </c>
      <c r="C368" s="3" t="s">
        <v>162</v>
      </c>
      <c r="D368" s="3" t="s">
        <v>157</v>
      </c>
      <c r="E368" s="7">
        <v>4</v>
      </c>
      <c r="F368" s="7">
        <v>4</v>
      </c>
      <c r="G368" s="7">
        <v>4</v>
      </c>
      <c r="H368" s="7">
        <v>3</v>
      </c>
      <c r="I368" s="7">
        <v>4</v>
      </c>
      <c r="J368" s="6"/>
      <c r="K368" s="3" t="s">
        <v>27</v>
      </c>
    </row>
    <row r="369" spans="1:11">
      <c r="A369" s="3" t="s">
        <v>39</v>
      </c>
      <c r="B369" s="3" t="s">
        <v>37</v>
      </c>
      <c r="C369" s="3" t="s">
        <v>165</v>
      </c>
      <c r="D369" s="3" t="s">
        <v>157</v>
      </c>
      <c r="E369" s="7">
        <v>4</v>
      </c>
      <c r="F369" s="7">
        <v>4</v>
      </c>
      <c r="G369" s="7">
        <v>3</v>
      </c>
      <c r="H369" s="7">
        <v>3</v>
      </c>
      <c r="I369" s="7">
        <v>4</v>
      </c>
      <c r="J369" s="6"/>
      <c r="K369" s="3" t="s">
        <v>27</v>
      </c>
    </row>
    <row r="370" spans="1:11">
      <c r="A370" s="3" t="s">
        <v>39</v>
      </c>
      <c r="B370" s="3" t="s">
        <v>37</v>
      </c>
      <c r="C370" s="3" t="s">
        <v>168</v>
      </c>
      <c r="D370" s="3" t="s">
        <v>157</v>
      </c>
      <c r="E370" s="7">
        <v>4</v>
      </c>
      <c r="F370" s="7">
        <v>4</v>
      </c>
      <c r="G370" s="7">
        <v>4</v>
      </c>
      <c r="H370" s="7">
        <v>2</v>
      </c>
      <c r="I370" s="7">
        <v>4</v>
      </c>
      <c r="J370" s="6"/>
      <c r="K370" s="3" t="s">
        <v>27</v>
      </c>
    </row>
    <row r="371" spans="1:11">
      <c r="A371" s="3" t="s">
        <v>39</v>
      </c>
      <c r="B371" s="3" t="s">
        <v>37</v>
      </c>
      <c r="C371" s="3" t="s">
        <v>25</v>
      </c>
      <c r="D371" s="3" t="s">
        <v>171</v>
      </c>
      <c r="E371" s="7">
        <v>4</v>
      </c>
      <c r="F371" s="7">
        <v>4</v>
      </c>
      <c r="G371" s="7">
        <v>3</v>
      </c>
      <c r="H371" s="7">
        <v>4</v>
      </c>
      <c r="I371" s="7">
        <v>4</v>
      </c>
      <c r="J371" s="6"/>
      <c r="K371" s="3" t="s">
        <v>27</v>
      </c>
    </row>
    <row r="372" spans="1:11">
      <c r="A372" s="3" t="s">
        <v>39</v>
      </c>
      <c r="B372" s="3" t="s">
        <v>37</v>
      </c>
      <c r="C372" s="3" t="s">
        <v>31</v>
      </c>
      <c r="D372" s="3" t="s">
        <v>171</v>
      </c>
      <c r="E372" s="7">
        <v>3</v>
      </c>
      <c r="F372" s="7">
        <v>4</v>
      </c>
      <c r="G372" s="7">
        <v>4</v>
      </c>
      <c r="H372" s="7">
        <v>3</v>
      </c>
      <c r="I372" s="7">
        <v>3</v>
      </c>
      <c r="J372" s="6"/>
      <c r="K372" s="3" t="s">
        <v>27</v>
      </c>
    </row>
    <row r="373" spans="1:11">
      <c r="A373" s="3" t="s">
        <v>39</v>
      </c>
      <c r="B373" s="3" t="s">
        <v>37</v>
      </c>
      <c r="C373" s="3" t="s">
        <v>32</v>
      </c>
      <c r="D373" s="3" t="s">
        <v>171</v>
      </c>
      <c r="E373" s="7">
        <v>4</v>
      </c>
      <c r="F373" s="7">
        <v>3</v>
      </c>
      <c r="G373" s="7">
        <v>3</v>
      </c>
      <c r="H373" s="7">
        <v>3</v>
      </c>
      <c r="I373" s="7">
        <v>3</v>
      </c>
      <c r="J373" s="6"/>
      <c r="K373" s="3" t="s">
        <v>27</v>
      </c>
    </row>
    <row r="374" spans="1:11">
      <c r="A374" s="3" t="s">
        <v>39</v>
      </c>
      <c r="B374" s="3" t="s">
        <v>37</v>
      </c>
      <c r="C374" s="3" t="s">
        <v>33</v>
      </c>
      <c r="D374" s="3" t="s">
        <v>171</v>
      </c>
      <c r="E374" s="7">
        <v>4</v>
      </c>
      <c r="F374" s="7">
        <v>4</v>
      </c>
      <c r="G374" s="7">
        <v>4</v>
      </c>
      <c r="H374" s="7">
        <v>4</v>
      </c>
      <c r="I374" s="7">
        <v>4</v>
      </c>
      <c r="J374" s="6"/>
      <c r="K374" s="3" t="s">
        <v>27</v>
      </c>
    </row>
    <row r="375" spans="1:11">
      <c r="A375" s="3" t="s">
        <v>39</v>
      </c>
      <c r="B375" s="3" t="s">
        <v>37</v>
      </c>
      <c r="C375" s="3" t="s">
        <v>34</v>
      </c>
      <c r="D375" s="3" t="s">
        <v>171</v>
      </c>
      <c r="E375" s="7">
        <v>4</v>
      </c>
      <c r="F375" s="7">
        <v>4</v>
      </c>
      <c r="G375" s="7">
        <v>4</v>
      </c>
      <c r="H375" s="7">
        <v>3</v>
      </c>
      <c r="I375" s="7">
        <v>4</v>
      </c>
      <c r="J375" s="6" t="s">
        <v>242</v>
      </c>
      <c r="K375" s="3" t="s">
        <v>27</v>
      </c>
    </row>
    <row r="376" spans="1:11">
      <c r="A376" s="3" t="s">
        <v>39</v>
      </c>
      <c r="B376" s="3" t="s">
        <v>37</v>
      </c>
      <c r="C376" s="3" t="s">
        <v>35</v>
      </c>
      <c r="D376" s="3" t="s">
        <v>171</v>
      </c>
      <c r="E376" s="7">
        <v>4</v>
      </c>
      <c r="F376" s="7">
        <v>4</v>
      </c>
      <c r="G376" s="7">
        <v>4</v>
      </c>
      <c r="H376" s="7">
        <v>3</v>
      </c>
      <c r="I376" s="7">
        <v>4</v>
      </c>
      <c r="J376" s="6"/>
      <c r="K376" s="3" t="s">
        <v>27</v>
      </c>
    </row>
    <row r="377" spans="1:11">
      <c r="A377" s="3" t="s">
        <v>39</v>
      </c>
      <c r="B377" s="3" t="s">
        <v>37</v>
      </c>
      <c r="C377" s="3" t="s">
        <v>186</v>
      </c>
      <c r="D377" s="3" t="s">
        <v>171</v>
      </c>
      <c r="E377" s="7">
        <v>3</v>
      </c>
      <c r="F377" s="7">
        <v>4</v>
      </c>
      <c r="G377" s="7">
        <v>4</v>
      </c>
      <c r="H377" s="7">
        <v>3</v>
      </c>
      <c r="I377" s="7">
        <v>4</v>
      </c>
      <c r="J377" s="6"/>
      <c r="K377" s="3" t="s">
        <v>27</v>
      </c>
    </row>
    <row r="378" spans="1:11">
      <c r="A378" s="3" t="s">
        <v>39</v>
      </c>
      <c r="B378" s="3" t="s">
        <v>37</v>
      </c>
      <c r="C378" s="3" t="s">
        <v>189</v>
      </c>
      <c r="D378" s="3" t="s">
        <v>171</v>
      </c>
      <c r="E378" s="7">
        <v>3</v>
      </c>
      <c r="F378" s="7">
        <v>4</v>
      </c>
      <c r="G378" s="7">
        <v>2</v>
      </c>
      <c r="H378" s="7">
        <v>3</v>
      </c>
      <c r="I378" s="7">
        <v>4</v>
      </c>
      <c r="J378" s="6"/>
      <c r="K378" s="3" t="s">
        <v>27</v>
      </c>
    </row>
    <row r="379" spans="1:11">
      <c r="A379" s="3" t="s">
        <v>39</v>
      </c>
      <c r="B379" s="3" t="s">
        <v>37</v>
      </c>
      <c r="C379" s="3" t="s">
        <v>192</v>
      </c>
      <c r="D379" s="3" t="s">
        <v>171</v>
      </c>
      <c r="E379" s="7">
        <v>4</v>
      </c>
      <c r="F379" s="7">
        <v>4</v>
      </c>
      <c r="G379" s="7">
        <v>4</v>
      </c>
      <c r="H379" s="7">
        <v>4</v>
      </c>
      <c r="I379" s="7">
        <v>4</v>
      </c>
      <c r="J379" s="6"/>
      <c r="K379" s="3" t="s">
        <v>27</v>
      </c>
    </row>
    <row r="380" spans="1:11">
      <c r="A380" s="3" t="s">
        <v>40</v>
      </c>
      <c r="B380" s="3" t="s">
        <v>37</v>
      </c>
      <c r="C380" s="3" t="s">
        <v>54</v>
      </c>
      <c r="D380" s="3" t="s">
        <v>55</v>
      </c>
      <c r="E380" s="7">
        <v>4</v>
      </c>
      <c r="F380" s="7">
        <v>4</v>
      </c>
      <c r="G380" s="7">
        <v>3</v>
      </c>
      <c r="H380" s="7">
        <v>4</v>
      </c>
      <c r="I380" s="7">
        <v>4</v>
      </c>
      <c r="J380" s="6"/>
      <c r="K380" s="3" t="s">
        <v>27</v>
      </c>
    </row>
    <row r="381" spans="1:11">
      <c r="A381" s="3" t="s">
        <v>40</v>
      </c>
      <c r="B381" s="3" t="s">
        <v>37</v>
      </c>
      <c r="C381" s="3" t="s">
        <v>64</v>
      </c>
      <c r="D381" s="3" t="s">
        <v>55</v>
      </c>
      <c r="E381" s="7">
        <v>4</v>
      </c>
      <c r="F381" s="7">
        <v>4</v>
      </c>
      <c r="G381" s="7">
        <v>3</v>
      </c>
      <c r="H381" s="7">
        <v>3</v>
      </c>
      <c r="I381" s="7">
        <v>4</v>
      </c>
      <c r="J381" s="6" t="s">
        <v>243</v>
      </c>
      <c r="K381" s="3" t="s">
        <v>27</v>
      </c>
    </row>
    <row r="382" spans="1:11">
      <c r="A382" s="3" t="s">
        <v>40</v>
      </c>
      <c r="B382" s="3" t="s">
        <v>37</v>
      </c>
      <c r="C382" s="3" t="s">
        <v>67</v>
      </c>
      <c r="D382" s="3" t="s">
        <v>55</v>
      </c>
      <c r="E382" s="7">
        <v>3</v>
      </c>
      <c r="F382" s="7">
        <v>3</v>
      </c>
      <c r="G382" s="7">
        <v>3</v>
      </c>
      <c r="H382" s="7">
        <v>4</v>
      </c>
      <c r="I382" s="7">
        <v>4</v>
      </c>
      <c r="J382" s="6"/>
      <c r="K382" s="3" t="s">
        <v>27</v>
      </c>
    </row>
    <row r="383" spans="1:11">
      <c r="A383" s="3" t="s">
        <v>40</v>
      </c>
      <c r="B383" s="3" t="s">
        <v>37</v>
      </c>
      <c r="C383" s="3" t="s">
        <v>70</v>
      </c>
      <c r="D383" s="3" t="s">
        <v>55</v>
      </c>
      <c r="E383" s="7">
        <v>3</v>
      </c>
      <c r="F383" s="7">
        <v>3</v>
      </c>
      <c r="G383" s="7">
        <v>4</v>
      </c>
      <c r="H383" s="7">
        <v>4</v>
      </c>
      <c r="I383" s="7">
        <v>3</v>
      </c>
      <c r="J383" s="6"/>
      <c r="K383" s="3" t="s">
        <v>27</v>
      </c>
    </row>
    <row r="384" spans="1:11">
      <c r="A384" s="3" t="s">
        <v>40</v>
      </c>
      <c r="B384" s="3" t="s">
        <v>37</v>
      </c>
      <c r="C384" s="3" t="s">
        <v>74</v>
      </c>
      <c r="D384" s="3" t="s">
        <v>55</v>
      </c>
      <c r="E384" s="7">
        <v>4</v>
      </c>
      <c r="F384" s="7">
        <v>4</v>
      </c>
      <c r="G384" s="7">
        <v>4</v>
      </c>
      <c r="H384" s="7">
        <v>4</v>
      </c>
      <c r="I384" s="7">
        <v>4</v>
      </c>
      <c r="J384" s="6"/>
      <c r="K384" s="3" t="s">
        <v>27</v>
      </c>
    </row>
    <row r="385" spans="1:11">
      <c r="A385" s="3" t="s">
        <v>40</v>
      </c>
      <c r="B385" s="3" t="s">
        <v>37</v>
      </c>
      <c r="C385" s="3" t="s">
        <v>77</v>
      </c>
      <c r="D385" s="3" t="s">
        <v>55</v>
      </c>
      <c r="E385" s="7">
        <v>4</v>
      </c>
      <c r="F385" s="7">
        <v>4</v>
      </c>
      <c r="G385" s="7">
        <v>4</v>
      </c>
      <c r="H385" s="7">
        <v>3</v>
      </c>
      <c r="I385" s="7">
        <v>3</v>
      </c>
      <c r="J385" s="6"/>
      <c r="K385" s="3" t="s">
        <v>27</v>
      </c>
    </row>
    <row r="386" spans="1:11">
      <c r="A386" s="3" t="s">
        <v>40</v>
      </c>
      <c r="B386" s="3" t="s">
        <v>37</v>
      </c>
      <c r="C386" s="3" t="s">
        <v>80</v>
      </c>
      <c r="D386" s="3" t="s">
        <v>55</v>
      </c>
      <c r="E386" s="7">
        <v>3</v>
      </c>
      <c r="F386" s="7">
        <v>3</v>
      </c>
      <c r="G386" s="7">
        <v>3</v>
      </c>
      <c r="H386" s="7">
        <v>4</v>
      </c>
      <c r="I386" s="7">
        <v>3</v>
      </c>
      <c r="J386" s="6"/>
      <c r="K386" s="3" t="s">
        <v>27</v>
      </c>
    </row>
    <row r="387" spans="1:11">
      <c r="A387" s="3" t="s">
        <v>40</v>
      </c>
      <c r="B387" s="3" t="s">
        <v>37</v>
      </c>
      <c r="C387" s="3" t="s">
        <v>83</v>
      </c>
      <c r="D387" s="3" t="s">
        <v>55</v>
      </c>
      <c r="E387" s="7">
        <v>3</v>
      </c>
      <c r="F387" s="7">
        <v>4</v>
      </c>
      <c r="G387" s="7">
        <v>2</v>
      </c>
      <c r="H387" s="7">
        <v>3</v>
      </c>
      <c r="I387" s="7">
        <v>4</v>
      </c>
      <c r="J387" s="6"/>
      <c r="K387" s="3" t="s">
        <v>27</v>
      </c>
    </row>
    <row r="388" spans="1:11">
      <c r="A388" s="3" t="s">
        <v>40</v>
      </c>
      <c r="B388" s="3" t="s">
        <v>37</v>
      </c>
      <c r="C388" s="3" t="s">
        <v>87</v>
      </c>
      <c r="D388" s="3" t="s">
        <v>55</v>
      </c>
      <c r="E388" s="7">
        <v>4</v>
      </c>
      <c r="F388" s="7">
        <v>4</v>
      </c>
      <c r="G388" s="7">
        <v>3</v>
      </c>
      <c r="H388" s="7">
        <v>4</v>
      </c>
      <c r="I388" s="7">
        <v>4</v>
      </c>
      <c r="J388" s="6"/>
      <c r="K388" s="3" t="s">
        <v>27</v>
      </c>
    </row>
    <row r="389" spans="1:11">
      <c r="A389" s="3" t="s">
        <v>40</v>
      </c>
      <c r="B389" s="3" t="s">
        <v>37</v>
      </c>
      <c r="C389" s="3" t="s">
        <v>91</v>
      </c>
      <c r="D389" s="3" t="s">
        <v>55</v>
      </c>
      <c r="E389" s="7">
        <v>4</v>
      </c>
      <c r="F389" s="7">
        <v>4</v>
      </c>
      <c r="G389" s="7">
        <v>3</v>
      </c>
      <c r="H389" s="7">
        <v>4</v>
      </c>
      <c r="I389" s="7">
        <v>4</v>
      </c>
      <c r="J389" s="6"/>
      <c r="K389" s="3" t="s">
        <v>27</v>
      </c>
    </row>
    <row r="390" spans="1:11">
      <c r="A390" s="3" t="s">
        <v>40</v>
      </c>
      <c r="B390" s="3" t="s">
        <v>37</v>
      </c>
      <c r="C390" s="3" t="s">
        <v>94</v>
      </c>
      <c r="D390" s="3" t="s">
        <v>55</v>
      </c>
      <c r="E390" s="7">
        <v>4</v>
      </c>
      <c r="F390" s="7">
        <v>4</v>
      </c>
      <c r="G390" s="7">
        <v>4</v>
      </c>
      <c r="H390" s="7">
        <v>4</v>
      </c>
      <c r="I390" s="7">
        <v>4</v>
      </c>
      <c r="J390" s="6" t="s">
        <v>244</v>
      </c>
      <c r="K390" s="3" t="s">
        <v>27</v>
      </c>
    </row>
    <row r="391" spans="1:11">
      <c r="A391" s="3" t="s">
        <v>40</v>
      </c>
      <c r="B391" s="3" t="s">
        <v>37</v>
      </c>
      <c r="C391" s="3" t="s">
        <v>97</v>
      </c>
      <c r="D391" s="3" t="s">
        <v>55</v>
      </c>
      <c r="E391" s="7">
        <v>3</v>
      </c>
      <c r="F391" s="7">
        <v>4</v>
      </c>
      <c r="G391" s="7">
        <v>4</v>
      </c>
      <c r="H391" s="7">
        <v>3</v>
      </c>
      <c r="I391" s="7">
        <v>3</v>
      </c>
      <c r="J391" s="6"/>
      <c r="K391" s="3" t="s">
        <v>27</v>
      </c>
    </row>
    <row r="392" spans="1:11">
      <c r="A392" s="3" t="s">
        <v>40</v>
      </c>
      <c r="B392" s="3" t="s">
        <v>37</v>
      </c>
      <c r="C392" s="3" t="s">
        <v>100</v>
      </c>
      <c r="D392" s="3" t="s">
        <v>55</v>
      </c>
      <c r="E392" s="7">
        <v>3</v>
      </c>
      <c r="F392" s="7">
        <v>4</v>
      </c>
      <c r="G392" s="7">
        <v>4</v>
      </c>
      <c r="H392" s="7">
        <v>3</v>
      </c>
      <c r="I392" s="7">
        <v>4</v>
      </c>
      <c r="J392" s="6"/>
      <c r="K392" s="3" t="s">
        <v>27</v>
      </c>
    </row>
    <row r="393" spans="1:11">
      <c r="A393" s="3" t="s">
        <v>40</v>
      </c>
      <c r="B393" s="3" t="s">
        <v>37</v>
      </c>
      <c r="C393" s="3" t="s">
        <v>103</v>
      </c>
      <c r="D393" s="3" t="s">
        <v>55</v>
      </c>
      <c r="E393" s="7">
        <v>4</v>
      </c>
      <c r="F393" s="7">
        <v>3</v>
      </c>
      <c r="G393" s="7">
        <v>3</v>
      </c>
      <c r="H393" s="7">
        <v>4</v>
      </c>
      <c r="I393" s="7">
        <v>4</v>
      </c>
      <c r="J393" s="6"/>
      <c r="K393" s="3" t="s">
        <v>27</v>
      </c>
    </row>
    <row r="394" spans="1:11">
      <c r="A394" s="3" t="s">
        <v>40</v>
      </c>
      <c r="B394" s="3" t="s">
        <v>37</v>
      </c>
      <c r="C394" s="3" t="s">
        <v>106</v>
      </c>
      <c r="D394" s="3" t="s">
        <v>55</v>
      </c>
      <c r="E394" s="7">
        <v>4</v>
      </c>
      <c r="F394" s="7">
        <v>4</v>
      </c>
      <c r="G394" s="7">
        <v>4</v>
      </c>
      <c r="H394" s="7">
        <v>3</v>
      </c>
      <c r="I394" s="7">
        <v>3</v>
      </c>
      <c r="J394" s="6"/>
      <c r="K394" s="3" t="s">
        <v>27</v>
      </c>
    </row>
    <row r="395" spans="1:11">
      <c r="A395" s="3" t="s">
        <v>40</v>
      </c>
      <c r="B395" s="3" t="s">
        <v>37</v>
      </c>
      <c r="C395" s="3" t="s">
        <v>109</v>
      </c>
      <c r="D395" s="3" t="s">
        <v>55</v>
      </c>
      <c r="E395" s="7">
        <v>4</v>
      </c>
      <c r="F395" s="7">
        <v>4</v>
      </c>
      <c r="G395" s="7">
        <v>4</v>
      </c>
      <c r="H395" s="7">
        <v>4</v>
      </c>
      <c r="I395" s="7">
        <v>4</v>
      </c>
      <c r="J395" s="6"/>
      <c r="K395" s="3" t="s">
        <v>27</v>
      </c>
    </row>
    <row r="396" spans="1:11">
      <c r="A396" s="3" t="s">
        <v>40</v>
      </c>
      <c r="B396" s="3" t="s">
        <v>37</v>
      </c>
      <c r="C396" s="3" t="s">
        <v>113</v>
      </c>
      <c r="D396" s="3" t="s">
        <v>55</v>
      </c>
      <c r="E396" s="7">
        <v>3</v>
      </c>
      <c r="F396" s="7">
        <v>3</v>
      </c>
      <c r="G396" s="7">
        <v>4</v>
      </c>
      <c r="H396" s="7">
        <v>2</v>
      </c>
      <c r="I396" s="7">
        <v>3</v>
      </c>
      <c r="J396" s="6"/>
      <c r="K396" s="3" t="s">
        <v>27</v>
      </c>
    </row>
    <row r="397" spans="1:11">
      <c r="A397" s="3" t="s">
        <v>40</v>
      </c>
      <c r="B397" s="3" t="s">
        <v>37</v>
      </c>
      <c r="C397" s="3" t="s">
        <v>116</v>
      </c>
      <c r="D397" s="3" t="s">
        <v>55</v>
      </c>
      <c r="E397" s="7">
        <v>4</v>
      </c>
      <c r="F397" s="7">
        <v>4</v>
      </c>
      <c r="G397" s="7">
        <v>3</v>
      </c>
      <c r="H397" s="7">
        <v>4</v>
      </c>
      <c r="I397" s="7">
        <v>4</v>
      </c>
      <c r="J397" s="6"/>
      <c r="K397" s="3" t="s">
        <v>27</v>
      </c>
    </row>
    <row r="398" spans="1:11">
      <c r="A398" s="3" t="s">
        <v>40</v>
      </c>
      <c r="B398" s="3" t="s">
        <v>37</v>
      </c>
      <c r="C398" s="3" t="s">
        <v>119</v>
      </c>
      <c r="D398" s="3" t="s">
        <v>55</v>
      </c>
      <c r="E398" s="7">
        <v>3</v>
      </c>
      <c r="F398" s="7">
        <v>3</v>
      </c>
      <c r="G398" s="7">
        <v>4</v>
      </c>
      <c r="H398" s="7">
        <v>3</v>
      </c>
      <c r="I398" s="7">
        <v>4</v>
      </c>
      <c r="J398" s="6"/>
      <c r="K398" s="3" t="s">
        <v>27</v>
      </c>
    </row>
    <row r="399" spans="1:11">
      <c r="A399" s="3" t="s">
        <v>40</v>
      </c>
      <c r="B399" s="3" t="s">
        <v>37</v>
      </c>
      <c r="C399" s="3" t="s">
        <v>122</v>
      </c>
      <c r="D399" s="3" t="s">
        <v>55</v>
      </c>
      <c r="E399" s="7">
        <v>3</v>
      </c>
      <c r="F399" s="7">
        <v>4</v>
      </c>
      <c r="G399" s="7">
        <v>3</v>
      </c>
      <c r="H399" s="7">
        <v>4</v>
      </c>
      <c r="I399" s="7">
        <v>4</v>
      </c>
      <c r="J399" s="6"/>
      <c r="K399" s="3" t="s">
        <v>27</v>
      </c>
    </row>
    <row r="400" spans="1:11">
      <c r="A400" s="3" t="s">
        <v>40</v>
      </c>
      <c r="B400" s="3" t="s">
        <v>37</v>
      </c>
      <c r="C400" s="3" t="s">
        <v>125</v>
      </c>
      <c r="D400" s="3" t="s">
        <v>126</v>
      </c>
      <c r="E400" s="7">
        <v>3</v>
      </c>
      <c r="F400" s="7">
        <v>4</v>
      </c>
      <c r="G400" s="7">
        <v>4</v>
      </c>
      <c r="H400" s="7">
        <v>3</v>
      </c>
      <c r="I400" s="7">
        <v>4</v>
      </c>
      <c r="J400" s="6"/>
      <c r="K400" s="3" t="s">
        <v>27</v>
      </c>
    </row>
    <row r="401" spans="1:11">
      <c r="A401" s="3" t="s">
        <v>40</v>
      </c>
      <c r="B401" s="3" t="s">
        <v>37</v>
      </c>
      <c r="C401" s="3" t="s">
        <v>132</v>
      </c>
      <c r="D401" s="3" t="s">
        <v>126</v>
      </c>
      <c r="E401" s="7">
        <v>4</v>
      </c>
      <c r="F401" s="7">
        <v>4</v>
      </c>
      <c r="G401" s="7">
        <v>4</v>
      </c>
      <c r="H401" s="7">
        <v>4</v>
      </c>
      <c r="I401" s="7">
        <v>4</v>
      </c>
      <c r="J401" s="6"/>
      <c r="K401" s="3" t="s">
        <v>27</v>
      </c>
    </row>
    <row r="402" spans="1:11">
      <c r="A402" s="3" t="s">
        <v>40</v>
      </c>
      <c r="B402" s="3" t="s">
        <v>37</v>
      </c>
      <c r="C402" s="3" t="s">
        <v>135</v>
      </c>
      <c r="D402" s="3" t="s">
        <v>126</v>
      </c>
      <c r="E402" s="7">
        <v>4</v>
      </c>
      <c r="F402" s="7">
        <v>4</v>
      </c>
      <c r="G402" s="7">
        <v>3</v>
      </c>
      <c r="H402" s="7">
        <v>4</v>
      </c>
      <c r="I402" s="7">
        <v>4</v>
      </c>
      <c r="J402" s="6"/>
      <c r="K402" s="3" t="s">
        <v>27</v>
      </c>
    </row>
    <row r="403" spans="1:11">
      <c r="A403" s="3" t="s">
        <v>40</v>
      </c>
      <c r="B403" s="3" t="s">
        <v>37</v>
      </c>
      <c r="C403" s="3" t="s">
        <v>138</v>
      </c>
      <c r="D403" s="3" t="s">
        <v>126</v>
      </c>
      <c r="E403" s="7">
        <v>4</v>
      </c>
      <c r="F403" s="7">
        <v>4</v>
      </c>
      <c r="G403" s="7">
        <v>4</v>
      </c>
      <c r="H403" s="7">
        <v>4</v>
      </c>
      <c r="I403" s="7">
        <v>4</v>
      </c>
      <c r="J403" s="6"/>
      <c r="K403" s="3" t="s">
        <v>27</v>
      </c>
    </row>
    <row r="404" spans="1:11">
      <c r="A404" s="3" t="s">
        <v>40</v>
      </c>
      <c r="B404" s="3" t="s">
        <v>37</v>
      </c>
      <c r="C404" s="3" t="s">
        <v>141</v>
      </c>
      <c r="D404" s="3" t="s">
        <v>126</v>
      </c>
      <c r="E404" s="7">
        <v>4</v>
      </c>
      <c r="F404" s="7">
        <v>3</v>
      </c>
      <c r="G404" s="7">
        <v>3</v>
      </c>
      <c r="H404" s="7">
        <v>3</v>
      </c>
      <c r="I404" s="7">
        <v>4</v>
      </c>
      <c r="J404" s="6"/>
      <c r="K404" s="3" t="s">
        <v>27</v>
      </c>
    </row>
    <row r="405" spans="1:11">
      <c r="A405" s="3" t="s">
        <v>40</v>
      </c>
      <c r="B405" s="3" t="s">
        <v>37</v>
      </c>
      <c r="C405" s="3" t="s">
        <v>144</v>
      </c>
      <c r="D405" s="3" t="s">
        <v>126</v>
      </c>
      <c r="E405" s="7">
        <v>4</v>
      </c>
      <c r="F405" s="7">
        <v>4</v>
      </c>
      <c r="G405" s="7">
        <v>4</v>
      </c>
      <c r="H405" s="7">
        <v>3</v>
      </c>
      <c r="I405" s="7">
        <v>4</v>
      </c>
      <c r="J405" s="6"/>
      <c r="K405" s="3" t="s">
        <v>27</v>
      </c>
    </row>
    <row r="406" spans="1:11">
      <c r="A406" s="3" t="s">
        <v>40</v>
      </c>
      <c r="B406" s="3" t="s">
        <v>37</v>
      </c>
      <c r="C406" s="3" t="s">
        <v>147</v>
      </c>
      <c r="D406" s="3" t="s">
        <v>126</v>
      </c>
      <c r="E406" s="7">
        <v>4</v>
      </c>
      <c r="F406" s="7">
        <v>3</v>
      </c>
      <c r="G406" s="7">
        <v>3</v>
      </c>
      <c r="H406" s="7">
        <v>2</v>
      </c>
      <c r="I406" s="7">
        <v>3</v>
      </c>
      <c r="J406" s="6"/>
      <c r="K406" s="3" t="s">
        <v>27</v>
      </c>
    </row>
    <row r="407" spans="1:11">
      <c r="A407" s="3" t="s">
        <v>40</v>
      </c>
      <c r="B407" s="3" t="s">
        <v>37</v>
      </c>
      <c r="C407" s="3" t="s">
        <v>150</v>
      </c>
      <c r="D407" s="3" t="s">
        <v>126</v>
      </c>
      <c r="E407" s="7">
        <v>4</v>
      </c>
      <c r="F407" s="7">
        <v>4</v>
      </c>
      <c r="G407" s="7">
        <v>4</v>
      </c>
      <c r="H407" s="7">
        <v>2</v>
      </c>
      <c r="I407" s="7"/>
      <c r="J407" s="6"/>
      <c r="K407" s="3" t="s">
        <v>27</v>
      </c>
    </row>
    <row r="408" spans="1:11">
      <c r="A408" s="3" t="s">
        <v>40</v>
      </c>
      <c r="B408" s="3" t="s">
        <v>37</v>
      </c>
      <c r="C408" s="3" t="s">
        <v>153</v>
      </c>
      <c r="D408" s="3" t="s">
        <v>126</v>
      </c>
      <c r="E408" s="7">
        <v>4</v>
      </c>
      <c r="F408" s="7">
        <v>3</v>
      </c>
      <c r="G408" s="7">
        <v>4</v>
      </c>
      <c r="H408" s="7">
        <v>3</v>
      </c>
      <c r="I408" s="7">
        <v>3</v>
      </c>
      <c r="J408" s="6"/>
      <c r="K408" s="3" t="s">
        <v>27</v>
      </c>
    </row>
    <row r="409" spans="1:11">
      <c r="A409" s="3" t="s">
        <v>40</v>
      </c>
      <c r="B409" s="3" t="s">
        <v>37</v>
      </c>
      <c r="C409" s="3" t="s">
        <v>156</v>
      </c>
      <c r="D409" s="3" t="s">
        <v>157</v>
      </c>
      <c r="E409" s="7">
        <v>3</v>
      </c>
      <c r="F409" s="7">
        <v>3</v>
      </c>
      <c r="G409" s="7">
        <v>4</v>
      </c>
      <c r="H409" s="7">
        <v>4</v>
      </c>
      <c r="I409" s="7">
        <v>4</v>
      </c>
      <c r="J409" s="6"/>
      <c r="K409" s="3" t="s">
        <v>27</v>
      </c>
    </row>
    <row r="410" spans="1:11">
      <c r="A410" s="3" t="s">
        <v>40</v>
      </c>
      <c r="B410" s="3" t="s">
        <v>37</v>
      </c>
      <c r="C410" s="3" t="s">
        <v>162</v>
      </c>
      <c r="D410" s="3" t="s">
        <v>157</v>
      </c>
      <c r="E410" s="7">
        <v>4</v>
      </c>
      <c r="F410" s="7">
        <v>4</v>
      </c>
      <c r="G410" s="7">
        <v>3</v>
      </c>
      <c r="H410" s="7">
        <v>4</v>
      </c>
      <c r="I410" s="7">
        <v>4</v>
      </c>
      <c r="J410" s="6"/>
      <c r="K410" s="3" t="s">
        <v>27</v>
      </c>
    </row>
    <row r="411" spans="1:11">
      <c r="A411" s="3" t="s">
        <v>40</v>
      </c>
      <c r="B411" s="3" t="s">
        <v>37</v>
      </c>
      <c r="C411" s="3" t="s">
        <v>165</v>
      </c>
      <c r="D411" s="3" t="s">
        <v>157</v>
      </c>
      <c r="E411" s="7">
        <v>3</v>
      </c>
      <c r="F411" s="7">
        <v>3</v>
      </c>
      <c r="G411" s="7">
        <v>2</v>
      </c>
      <c r="H411" s="7">
        <v>3</v>
      </c>
      <c r="I411" s="7">
        <v>3</v>
      </c>
      <c r="J411" s="6"/>
      <c r="K411" s="3" t="s">
        <v>27</v>
      </c>
    </row>
    <row r="412" spans="1:11">
      <c r="A412" s="3" t="s">
        <v>40</v>
      </c>
      <c r="B412" s="3" t="s">
        <v>37</v>
      </c>
      <c r="C412" s="3" t="s">
        <v>168</v>
      </c>
      <c r="D412" s="3" t="s">
        <v>157</v>
      </c>
      <c r="E412" s="7">
        <v>4</v>
      </c>
      <c r="F412" s="7">
        <v>4</v>
      </c>
      <c r="G412" s="7">
        <v>3</v>
      </c>
      <c r="H412" s="7">
        <v>3</v>
      </c>
      <c r="I412" s="7">
        <v>4</v>
      </c>
      <c r="J412" s="6"/>
      <c r="K412" s="3" t="s">
        <v>27</v>
      </c>
    </row>
    <row r="413" spans="1:11">
      <c r="A413" s="3" t="s">
        <v>40</v>
      </c>
      <c r="B413" s="3" t="s">
        <v>37</v>
      </c>
      <c r="C413" s="3" t="s">
        <v>25</v>
      </c>
      <c r="D413" s="3" t="s">
        <v>171</v>
      </c>
      <c r="E413" s="7">
        <v>4</v>
      </c>
      <c r="F413" s="7">
        <v>4</v>
      </c>
      <c r="G413" s="7">
        <v>4</v>
      </c>
      <c r="H413" s="7">
        <v>4</v>
      </c>
      <c r="I413" s="7">
        <v>4</v>
      </c>
      <c r="J413" s="6"/>
      <c r="K413" s="3" t="s">
        <v>27</v>
      </c>
    </row>
    <row r="414" spans="1:11">
      <c r="A414" s="3" t="s">
        <v>40</v>
      </c>
      <c r="B414" s="3" t="s">
        <v>37</v>
      </c>
      <c r="C414" s="3" t="s">
        <v>31</v>
      </c>
      <c r="D414" s="3" t="s">
        <v>171</v>
      </c>
      <c r="E414" s="7">
        <v>3</v>
      </c>
      <c r="F414" s="7">
        <v>4</v>
      </c>
      <c r="G414" s="7">
        <v>4</v>
      </c>
      <c r="H414" s="7">
        <v>4</v>
      </c>
      <c r="I414" s="7">
        <v>4</v>
      </c>
      <c r="J414" s="6" t="s">
        <v>245</v>
      </c>
      <c r="K414" s="3" t="s">
        <v>27</v>
      </c>
    </row>
    <row r="415" spans="1:11">
      <c r="A415" s="3" t="s">
        <v>40</v>
      </c>
      <c r="B415" s="3" t="s">
        <v>37</v>
      </c>
      <c r="C415" s="3" t="s">
        <v>32</v>
      </c>
      <c r="D415" s="3" t="s">
        <v>171</v>
      </c>
      <c r="E415" s="7">
        <v>3</v>
      </c>
      <c r="F415" s="7">
        <v>4</v>
      </c>
      <c r="G415" s="7">
        <v>4</v>
      </c>
      <c r="H415" s="7">
        <v>4</v>
      </c>
      <c r="I415" s="7">
        <v>3</v>
      </c>
      <c r="J415" s="6"/>
      <c r="K415" s="3" t="s">
        <v>27</v>
      </c>
    </row>
    <row r="416" spans="1:11">
      <c r="A416" s="3" t="s">
        <v>40</v>
      </c>
      <c r="B416" s="3" t="s">
        <v>37</v>
      </c>
      <c r="C416" s="3" t="s">
        <v>33</v>
      </c>
      <c r="D416" s="3" t="s">
        <v>171</v>
      </c>
      <c r="E416" s="7">
        <v>4</v>
      </c>
      <c r="F416" s="7">
        <v>4</v>
      </c>
      <c r="G416" s="7">
        <v>4</v>
      </c>
      <c r="H416" s="7">
        <v>4</v>
      </c>
      <c r="I416" s="7">
        <v>4</v>
      </c>
      <c r="J416" s="6" t="s">
        <v>246</v>
      </c>
      <c r="K416" s="3" t="s">
        <v>27</v>
      </c>
    </row>
    <row r="417" spans="1:11">
      <c r="A417" s="3" t="s">
        <v>40</v>
      </c>
      <c r="B417" s="3" t="s">
        <v>37</v>
      </c>
      <c r="C417" s="3" t="s">
        <v>34</v>
      </c>
      <c r="D417" s="3" t="s">
        <v>171</v>
      </c>
      <c r="E417" s="7">
        <v>4</v>
      </c>
      <c r="F417" s="7">
        <v>4</v>
      </c>
      <c r="G417" s="7">
        <v>3</v>
      </c>
      <c r="H417" s="7">
        <v>4</v>
      </c>
      <c r="I417" s="7">
        <v>4</v>
      </c>
      <c r="J417" s="6"/>
      <c r="K417" s="3" t="s">
        <v>27</v>
      </c>
    </row>
    <row r="418" spans="1:11">
      <c r="A418" s="3" t="s">
        <v>40</v>
      </c>
      <c r="B418" s="3" t="s">
        <v>37</v>
      </c>
      <c r="C418" s="3" t="s">
        <v>35</v>
      </c>
      <c r="D418" s="3" t="s">
        <v>171</v>
      </c>
      <c r="E418" s="7">
        <v>4</v>
      </c>
      <c r="F418" s="7">
        <v>4</v>
      </c>
      <c r="G418" s="7">
        <v>4</v>
      </c>
      <c r="H418" s="7">
        <v>2</v>
      </c>
      <c r="I418" s="7">
        <v>4</v>
      </c>
      <c r="J418" s="6"/>
      <c r="K418" s="3" t="s">
        <v>27</v>
      </c>
    </row>
    <row r="419" spans="1:11">
      <c r="A419" s="3" t="s">
        <v>40</v>
      </c>
      <c r="B419" s="3" t="s">
        <v>37</v>
      </c>
      <c r="C419" s="3" t="s">
        <v>186</v>
      </c>
      <c r="D419" s="3" t="s">
        <v>171</v>
      </c>
      <c r="E419" s="7">
        <v>4</v>
      </c>
      <c r="F419" s="7">
        <v>3</v>
      </c>
      <c r="G419" s="7">
        <v>3</v>
      </c>
      <c r="H419" s="7">
        <v>4</v>
      </c>
      <c r="I419" s="7">
        <v>4</v>
      </c>
      <c r="J419" s="6"/>
      <c r="K419" s="3" t="s">
        <v>27</v>
      </c>
    </row>
    <row r="420" spans="1:11">
      <c r="A420" s="3" t="s">
        <v>40</v>
      </c>
      <c r="B420" s="3" t="s">
        <v>37</v>
      </c>
      <c r="C420" s="3" t="s">
        <v>189</v>
      </c>
      <c r="D420" s="3" t="s">
        <v>171</v>
      </c>
      <c r="E420" s="7">
        <v>3</v>
      </c>
      <c r="F420" s="7">
        <v>3</v>
      </c>
      <c r="G420" s="7">
        <v>2</v>
      </c>
      <c r="H420" s="7">
        <v>3</v>
      </c>
      <c r="I420" s="7">
        <v>4</v>
      </c>
      <c r="J420" s="6"/>
      <c r="K420" s="3" t="s">
        <v>27</v>
      </c>
    </row>
    <row r="421" spans="1:11">
      <c r="A421" s="3" t="s">
        <v>40</v>
      </c>
      <c r="B421" s="3" t="s">
        <v>37</v>
      </c>
      <c r="C421" s="3" t="s">
        <v>192</v>
      </c>
      <c r="D421" s="3" t="s">
        <v>171</v>
      </c>
      <c r="E421" s="7">
        <v>3</v>
      </c>
      <c r="F421" s="7">
        <v>3</v>
      </c>
      <c r="G421" s="7">
        <v>3</v>
      </c>
      <c r="H421" s="7">
        <v>3</v>
      </c>
      <c r="I421" s="7">
        <v>3</v>
      </c>
      <c r="J421" s="6" t="s">
        <v>247</v>
      </c>
      <c r="K421" s="3" t="s">
        <v>27</v>
      </c>
    </row>
    <row r="422" spans="1:11">
      <c r="A422" s="3" t="s">
        <v>41</v>
      </c>
      <c r="B422" s="3" t="s">
        <v>37</v>
      </c>
      <c r="C422" s="3" t="s">
        <v>54</v>
      </c>
      <c r="D422" s="3" t="s">
        <v>55</v>
      </c>
      <c r="E422" s="7">
        <v>4</v>
      </c>
      <c r="F422" s="7">
        <v>4</v>
      </c>
      <c r="G422" s="7">
        <v>4</v>
      </c>
      <c r="H422" s="7">
        <v>3</v>
      </c>
      <c r="I422" s="7">
        <v>3</v>
      </c>
      <c r="J422" s="6" t="s">
        <v>248</v>
      </c>
      <c r="K422" s="3" t="s">
        <v>27</v>
      </c>
    </row>
    <row r="423" spans="1:11">
      <c r="A423" s="3" t="s">
        <v>41</v>
      </c>
      <c r="B423" s="3" t="s">
        <v>37</v>
      </c>
      <c r="C423" s="3" t="s">
        <v>64</v>
      </c>
      <c r="D423" s="3" t="s">
        <v>55</v>
      </c>
      <c r="E423" s="7">
        <v>4</v>
      </c>
      <c r="F423" s="7">
        <v>4</v>
      </c>
      <c r="G423" s="7">
        <v>3</v>
      </c>
      <c r="H423" s="7">
        <v>4</v>
      </c>
      <c r="I423" s="7">
        <v>4</v>
      </c>
      <c r="J423" s="6"/>
      <c r="K423" s="3" t="s">
        <v>27</v>
      </c>
    </row>
    <row r="424" spans="1:11">
      <c r="A424" s="3" t="s">
        <v>41</v>
      </c>
      <c r="B424" s="3" t="s">
        <v>37</v>
      </c>
      <c r="C424" s="3" t="s">
        <v>67</v>
      </c>
      <c r="D424" s="3" t="s">
        <v>55</v>
      </c>
      <c r="E424" s="7">
        <v>3</v>
      </c>
      <c r="F424" s="7">
        <v>4</v>
      </c>
      <c r="G424" s="7">
        <v>4</v>
      </c>
      <c r="H424" s="7">
        <v>3</v>
      </c>
      <c r="I424" s="7">
        <v>4</v>
      </c>
      <c r="J424" s="6"/>
      <c r="K424" s="3" t="s">
        <v>27</v>
      </c>
    </row>
    <row r="425" spans="1:11">
      <c r="A425" s="3" t="s">
        <v>41</v>
      </c>
      <c r="B425" s="3" t="s">
        <v>37</v>
      </c>
      <c r="C425" s="3" t="s">
        <v>70</v>
      </c>
      <c r="D425" s="3" t="s">
        <v>55</v>
      </c>
      <c r="E425" s="7">
        <v>3</v>
      </c>
      <c r="F425" s="7">
        <v>4</v>
      </c>
      <c r="G425" s="7">
        <v>4</v>
      </c>
      <c r="H425" s="7">
        <v>3</v>
      </c>
      <c r="I425" s="7">
        <v>4</v>
      </c>
      <c r="J425" s="6"/>
      <c r="K425" s="3" t="s">
        <v>27</v>
      </c>
    </row>
    <row r="426" spans="1:11">
      <c r="A426" s="3" t="s">
        <v>41</v>
      </c>
      <c r="B426" s="3" t="s">
        <v>37</v>
      </c>
      <c r="C426" s="3" t="s">
        <v>74</v>
      </c>
      <c r="D426" s="3" t="s">
        <v>55</v>
      </c>
      <c r="E426" s="7">
        <v>4</v>
      </c>
      <c r="F426" s="7">
        <v>4</v>
      </c>
      <c r="G426" s="7">
        <v>4</v>
      </c>
      <c r="H426" s="7">
        <v>3</v>
      </c>
      <c r="I426" s="7">
        <v>4</v>
      </c>
      <c r="J426" s="6"/>
      <c r="K426" s="3" t="s">
        <v>27</v>
      </c>
    </row>
    <row r="427" spans="1:11">
      <c r="A427" s="3" t="s">
        <v>41</v>
      </c>
      <c r="B427" s="3" t="s">
        <v>37</v>
      </c>
      <c r="C427" s="3" t="s">
        <v>77</v>
      </c>
      <c r="D427" s="3" t="s">
        <v>55</v>
      </c>
      <c r="E427" s="7">
        <v>4</v>
      </c>
      <c r="F427" s="7">
        <v>4</v>
      </c>
      <c r="G427" s="7">
        <v>3</v>
      </c>
      <c r="H427" s="7">
        <v>3</v>
      </c>
      <c r="I427" s="7">
        <v>4</v>
      </c>
      <c r="J427" s="6"/>
      <c r="K427" s="3" t="s">
        <v>27</v>
      </c>
    </row>
    <row r="428" spans="1:11">
      <c r="A428" s="3" t="s">
        <v>41</v>
      </c>
      <c r="B428" s="3" t="s">
        <v>37</v>
      </c>
      <c r="C428" s="3" t="s">
        <v>80</v>
      </c>
      <c r="D428" s="3" t="s">
        <v>55</v>
      </c>
      <c r="E428" s="7">
        <v>4</v>
      </c>
      <c r="F428" s="7">
        <v>3</v>
      </c>
      <c r="G428" s="7">
        <v>4</v>
      </c>
      <c r="H428" s="7">
        <v>4</v>
      </c>
      <c r="I428" s="7">
        <v>4</v>
      </c>
      <c r="J428" s="6"/>
      <c r="K428" s="3" t="s">
        <v>27</v>
      </c>
    </row>
    <row r="429" spans="1:11">
      <c r="A429" s="3" t="s">
        <v>41</v>
      </c>
      <c r="B429" s="3" t="s">
        <v>37</v>
      </c>
      <c r="C429" s="3" t="s">
        <v>83</v>
      </c>
      <c r="D429" s="3" t="s">
        <v>55</v>
      </c>
      <c r="E429" s="7">
        <v>3</v>
      </c>
      <c r="F429" s="7">
        <v>3</v>
      </c>
      <c r="G429" s="7">
        <v>2</v>
      </c>
      <c r="H429" s="7">
        <v>2</v>
      </c>
      <c r="I429" s="7">
        <v>4</v>
      </c>
      <c r="J429" s="6"/>
      <c r="K429" s="3" t="s">
        <v>27</v>
      </c>
    </row>
    <row r="430" spans="1:11">
      <c r="A430" s="3" t="s">
        <v>41</v>
      </c>
      <c r="B430" s="3" t="s">
        <v>37</v>
      </c>
      <c r="C430" s="3" t="s">
        <v>87</v>
      </c>
      <c r="D430" s="3" t="s">
        <v>55</v>
      </c>
      <c r="E430" s="7">
        <v>4</v>
      </c>
      <c r="F430" s="7">
        <v>4</v>
      </c>
      <c r="G430" s="7">
        <v>4</v>
      </c>
      <c r="H430" s="7">
        <v>4</v>
      </c>
      <c r="I430" s="7">
        <v>4</v>
      </c>
      <c r="J430" s="6"/>
      <c r="K430" s="3" t="s">
        <v>27</v>
      </c>
    </row>
    <row r="431" spans="1:11">
      <c r="A431" s="3" t="s">
        <v>41</v>
      </c>
      <c r="B431" s="3" t="s">
        <v>37</v>
      </c>
      <c r="C431" s="3" t="s">
        <v>91</v>
      </c>
      <c r="D431" s="3" t="s">
        <v>55</v>
      </c>
      <c r="E431" s="7">
        <v>4</v>
      </c>
      <c r="F431" s="7">
        <v>4</v>
      </c>
      <c r="G431" s="7">
        <v>4</v>
      </c>
      <c r="H431" s="7">
        <v>4</v>
      </c>
      <c r="I431" s="7">
        <v>4</v>
      </c>
      <c r="J431" s="6"/>
      <c r="K431" s="3" t="s">
        <v>27</v>
      </c>
    </row>
    <row r="432" spans="1:11">
      <c r="A432" s="3" t="s">
        <v>41</v>
      </c>
      <c r="B432" s="3" t="s">
        <v>37</v>
      </c>
      <c r="C432" s="3" t="s">
        <v>94</v>
      </c>
      <c r="D432" s="3" t="s">
        <v>55</v>
      </c>
      <c r="E432" s="7">
        <v>4</v>
      </c>
      <c r="F432" s="7">
        <v>4</v>
      </c>
      <c r="G432" s="7">
        <v>3</v>
      </c>
      <c r="H432" s="7">
        <v>3</v>
      </c>
      <c r="I432" s="7">
        <v>4</v>
      </c>
      <c r="J432" s="6"/>
      <c r="K432" s="3" t="s">
        <v>27</v>
      </c>
    </row>
    <row r="433" spans="1:11">
      <c r="A433" s="3" t="s">
        <v>41</v>
      </c>
      <c r="B433" s="3" t="s">
        <v>37</v>
      </c>
      <c r="C433" s="3" t="s">
        <v>97</v>
      </c>
      <c r="D433" s="3" t="s">
        <v>55</v>
      </c>
      <c r="E433" s="7">
        <v>4</v>
      </c>
      <c r="F433" s="7">
        <v>4</v>
      </c>
      <c r="G433" s="7">
        <v>3</v>
      </c>
      <c r="H433" s="7">
        <v>3</v>
      </c>
      <c r="I433" s="7">
        <v>4</v>
      </c>
      <c r="J433" s="6"/>
      <c r="K433" s="3" t="s">
        <v>27</v>
      </c>
    </row>
    <row r="434" spans="1:11">
      <c r="A434" s="3" t="s">
        <v>41</v>
      </c>
      <c r="B434" s="3" t="s">
        <v>37</v>
      </c>
      <c r="C434" s="3" t="s">
        <v>100</v>
      </c>
      <c r="D434" s="3" t="s">
        <v>55</v>
      </c>
      <c r="E434" s="7">
        <v>4</v>
      </c>
      <c r="F434" s="7">
        <v>3</v>
      </c>
      <c r="G434" s="7">
        <v>3</v>
      </c>
      <c r="H434" s="7">
        <v>2</v>
      </c>
      <c r="I434" s="7">
        <v>4</v>
      </c>
      <c r="J434" s="6"/>
      <c r="K434" s="3" t="s">
        <v>27</v>
      </c>
    </row>
    <row r="435" spans="1:11">
      <c r="A435" s="3" t="s">
        <v>41</v>
      </c>
      <c r="B435" s="3" t="s">
        <v>37</v>
      </c>
      <c r="C435" s="3" t="s">
        <v>103</v>
      </c>
      <c r="D435" s="3" t="s">
        <v>55</v>
      </c>
      <c r="E435" s="7">
        <v>3</v>
      </c>
      <c r="F435" s="7">
        <v>4</v>
      </c>
      <c r="G435" s="7">
        <v>3</v>
      </c>
      <c r="H435" s="7">
        <v>4</v>
      </c>
      <c r="I435" s="7">
        <v>4</v>
      </c>
      <c r="J435" s="6"/>
      <c r="K435" s="3" t="s">
        <v>27</v>
      </c>
    </row>
    <row r="436" spans="1:11">
      <c r="A436" s="3" t="s">
        <v>41</v>
      </c>
      <c r="B436" s="3" t="s">
        <v>37</v>
      </c>
      <c r="C436" s="3" t="s">
        <v>106</v>
      </c>
      <c r="D436" s="3" t="s">
        <v>55</v>
      </c>
      <c r="E436" s="7">
        <v>4</v>
      </c>
      <c r="F436" s="7">
        <v>4</v>
      </c>
      <c r="G436" s="7">
        <v>4</v>
      </c>
      <c r="H436" s="7">
        <v>3</v>
      </c>
      <c r="I436" s="7">
        <v>3</v>
      </c>
      <c r="J436" s="6"/>
      <c r="K436" s="3" t="s">
        <v>27</v>
      </c>
    </row>
    <row r="437" spans="1:11">
      <c r="A437" s="3" t="s">
        <v>41</v>
      </c>
      <c r="B437" s="3" t="s">
        <v>37</v>
      </c>
      <c r="C437" s="3" t="s">
        <v>109</v>
      </c>
      <c r="D437" s="3" t="s">
        <v>55</v>
      </c>
      <c r="E437" s="7">
        <v>4</v>
      </c>
      <c r="F437" s="7">
        <v>4</v>
      </c>
      <c r="G437" s="7">
        <v>4</v>
      </c>
      <c r="H437" s="7">
        <v>4</v>
      </c>
      <c r="I437" s="7">
        <v>4</v>
      </c>
      <c r="J437" s="6"/>
      <c r="K437" s="3" t="s">
        <v>27</v>
      </c>
    </row>
    <row r="438" spans="1:11">
      <c r="A438" s="3" t="s">
        <v>41</v>
      </c>
      <c r="B438" s="3" t="s">
        <v>37</v>
      </c>
      <c r="C438" s="3" t="s">
        <v>113</v>
      </c>
      <c r="D438" s="3" t="s">
        <v>55</v>
      </c>
      <c r="E438" s="7">
        <v>3</v>
      </c>
      <c r="F438" s="7">
        <v>4</v>
      </c>
      <c r="G438" s="7">
        <v>4</v>
      </c>
      <c r="H438" s="7">
        <v>2</v>
      </c>
      <c r="I438" s="7">
        <v>4</v>
      </c>
      <c r="J438" s="6"/>
      <c r="K438" s="3" t="s">
        <v>27</v>
      </c>
    </row>
    <row r="439" spans="1:11">
      <c r="A439" s="3" t="s">
        <v>41</v>
      </c>
      <c r="B439" s="3" t="s">
        <v>37</v>
      </c>
      <c r="C439" s="3" t="s">
        <v>116</v>
      </c>
      <c r="D439" s="3" t="s">
        <v>55</v>
      </c>
      <c r="E439" s="7">
        <v>4</v>
      </c>
      <c r="F439" s="7">
        <v>4</v>
      </c>
      <c r="G439" s="7">
        <v>4</v>
      </c>
      <c r="H439" s="7">
        <v>4</v>
      </c>
      <c r="I439" s="7">
        <v>4</v>
      </c>
      <c r="J439" s="6"/>
      <c r="K439" s="3" t="s">
        <v>27</v>
      </c>
    </row>
    <row r="440" spans="1:11">
      <c r="A440" s="3" t="s">
        <v>41</v>
      </c>
      <c r="B440" s="3" t="s">
        <v>37</v>
      </c>
      <c r="C440" s="3" t="s">
        <v>119</v>
      </c>
      <c r="D440" s="3" t="s">
        <v>55</v>
      </c>
      <c r="E440" s="7">
        <v>4</v>
      </c>
      <c r="F440" s="7">
        <v>3</v>
      </c>
      <c r="G440" s="7">
        <v>3</v>
      </c>
      <c r="H440" s="7">
        <v>2</v>
      </c>
      <c r="I440" s="7">
        <v>4</v>
      </c>
      <c r="J440" s="6"/>
      <c r="K440" s="3" t="s">
        <v>27</v>
      </c>
    </row>
    <row r="441" spans="1:11">
      <c r="A441" s="3" t="s">
        <v>41</v>
      </c>
      <c r="B441" s="3" t="s">
        <v>37</v>
      </c>
      <c r="C441" s="3" t="s">
        <v>122</v>
      </c>
      <c r="D441" s="3" t="s">
        <v>55</v>
      </c>
      <c r="E441" s="7">
        <v>4</v>
      </c>
      <c r="F441" s="7">
        <v>4</v>
      </c>
      <c r="G441" s="7">
        <v>4</v>
      </c>
      <c r="H441" s="7">
        <v>4</v>
      </c>
      <c r="I441" s="7">
        <v>4</v>
      </c>
      <c r="J441" s="6" t="s">
        <v>249</v>
      </c>
      <c r="K441" s="3" t="s">
        <v>27</v>
      </c>
    </row>
    <row r="442" spans="1:11">
      <c r="A442" s="3" t="s">
        <v>41</v>
      </c>
      <c r="B442" s="3" t="s">
        <v>37</v>
      </c>
      <c r="C442" s="3" t="s">
        <v>125</v>
      </c>
      <c r="D442" s="3" t="s">
        <v>126</v>
      </c>
      <c r="E442" s="7">
        <v>4</v>
      </c>
      <c r="F442" s="7">
        <v>4</v>
      </c>
      <c r="G442" s="7">
        <v>4</v>
      </c>
      <c r="H442" s="7">
        <v>3</v>
      </c>
      <c r="I442" s="7">
        <v>3</v>
      </c>
      <c r="J442" s="6"/>
      <c r="K442" s="3" t="s">
        <v>27</v>
      </c>
    </row>
    <row r="443" spans="1:11">
      <c r="A443" s="3" t="s">
        <v>41</v>
      </c>
      <c r="B443" s="3" t="s">
        <v>37</v>
      </c>
      <c r="C443" s="3" t="s">
        <v>132</v>
      </c>
      <c r="D443" s="3" t="s">
        <v>126</v>
      </c>
      <c r="E443" s="7">
        <v>4</v>
      </c>
      <c r="F443" s="7">
        <v>4</v>
      </c>
      <c r="G443" s="7">
        <v>3</v>
      </c>
      <c r="H443" s="7">
        <v>4</v>
      </c>
      <c r="I443" s="7">
        <v>3</v>
      </c>
      <c r="J443" s="6"/>
      <c r="K443" s="3" t="s">
        <v>27</v>
      </c>
    </row>
    <row r="444" spans="1:11">
      <c r="A444" s="3" t="s">
        <v>41</v>
      </c>
      <c r="B444" s="3" t="s">
        <v>37</v>
      </c>
      <c r="C444" s="3" t="s">
        <v>135</v>
      </c>
      <c r="D444" s="3" t="s">
        <v>126</v>
      </c>
      <c r="E444" s="7">
        <v>4</v>
      </c>
      <c r="F444" s="7">
        <v>4</v>
      </c>
      <c r="G444" s="7">
        <v>3</v>
      </c>
      <c r="H444" s="7">
        <v>4</v>
      </c>
      <c r="I444" s="7">
        <v>4</v>
      </c>
      <c r="J444" s="6"/>
      <c r="K444" s="3" t="s">
        <v>27</v>
      </c>
    </row>
    <row r="445" spans="1:11">
      <c r="A445" s="3" t="s">
        <v>41</v>
      </c>
      <c r="B445" s="3" t="s">
        <v>37</v>
      </c>
      <c r="C445" s="3" t="s">
        <v>138</v>
      </c>
      <c r="D445" s="3" t="s">
        <v>126</v>
      </c>
      <c r="E445" s="7">
        <v>4</v>
      </c>
      <c r="F445" s="7">
        <v>4</v>
      </c>
      <c r="G445" s="7">
        <v>3</v>
      </c>
      <c r="H445" s="7">
        <v>4</v>
      </c>
      <c r="I445" s="7">
        <v>4</v>
      </c>
      <c r="J445" s="6"/>
      <c r="K445" s="3" t="s">
        <v>27</v>
      </c>
    </row>
    <row r="446" spans="1:11">
      <c r="A446" s="3" t="s">
        <v>41</v>
      </c>
      <c r="B446" s="3" t="s">
        <v>37</v>
      </c>
      <c r="C446" s="3" t="s">
        <v>141</v>
      </c>
      <c r="D446" s="3" t="s">
        <v>126</v>
      </c>
      <c r="E446" s="7">
        <v>3</v>
      </c>
      <c r="F446" s="7">
        <v>4</v>
      </c>
      <c r="G446" s="7">
        <v>4</v>
      </c>
      <c r="H446" s="7">
        <v>3</v>
      </c>
      <c r="I446" s="7">
        <v>4</v>
      </c>
      <c r="J446" s="6"/>
      <c r="K446" s="3" t="s">
        <v>27</v>
      </c>
    </row>
    <row r="447" spans="1:11">
      <c r="A447" s="3" t="s">
        <v>41</v>
      </c>
      <c r="B447" s="3" t="s">
        <v>37</v>
      </c>
      <c r="C447" s="3" t="s">
        <v>144</v>
      </c>
      <c r="D447" s="3" t="s">
        <v>126</v>
      </c>
      <c r="E447" s="7">
        <v>4</v>
      </c>
      <c r="F447" s="7">
        <v>4</v>
      </c>
      <c r="G447" s="7">
        <v>3</v>
      </c>
      <c r="H447" s="7">
        <v>3</v>
      </c>
      <c r="I447" s="7">
        <v>4</v>
      </c>
      <c r="J447" s="6"/>
      <c r="K447" s="3" t="s">
        <v>27</v>
      </c>
    </row>
    <row r="448" spans="1:11">
      <c r="A448" s="3" t="s">
        <v>41</v>
      </c>
      <c r="B448" s="3" t="s">
        <v>37</v>
      </c>
      <c r="C448" s="3" t="s">
        <v>147</v>
      </c>
      <c r="D448" s="3" t="s">
        <v>126</v>
      </c>
      <c r="E448" s="7">
        <v>4</v>
      </c>
      <c r="F448" s="7">
        <v>3</v>
      </c>
      <c r="G448" s="7">
        <v>3</v>
      </c>
      <c r="H448" s="7">
        <v>3</v>
      </c>
      <c r="I448" s="7">
        <v>4</v>
      </c>
      <c r="J448" s="6"/>
      <c r="K448" s="3" t="s">
        <v>27</v>
      </c>
    </row>
    <row r="449" spans="1:11">
      <c r="A449" s="3" t="s">
        <v>41</v>
      </c>
      <c r="B449" s="3" t="s">
        <v>37</v>
      </c>
      <c r="C449" s="3" t="s">
        <v>150</v>
      </c>
      <c r="D449" s="3" t="s">
        <v>126</v>
      </c>
      <c r="E449" s="7">
        <v>3</v>
      </c>
      <c r="F449" s="7">
        <v>4</v>
      </c>
      <c r="G449" s="7">
        <v>3</v>
      </c>
      <c r="H449" s="7">
        <v>3</v>
      </c>
      <c r="I449" s="7">
        <v>3</v>
      </c>
      <c r="J449" s="6"/>
      <c r="K449" s="3" t="s">
        <v>27</v>
      </c>
    </row>
    <row r="450" spans="1:11">
      <c r="A450" s="3" t="s">
        <v>41</v>
      </c>
      <c r="B450" s="3" t="s">
        <v>37</v>
      </c>
      <c r="C450" s="3" t="s">
        <v>153</v>
      </c>
      <c r="D450" s="3" t="s">
        <v>126</v>
      </c>
      <c r="E450" s="7">
        <v>4</v>
      </c>
      <c r="F450" s="7">
        <v>4</v>
      </c>
      <c r="G450" s="7">
        <v>4</v>
      </c>
      <c r="H450" s="7">
        <v>3</v>
      </c>
      <c r="I450" s="7">
        <v>3</v>
      </c>
      <c r="J450" s="6" t="s">
        <v>250</v>
      </c>
      <c r="K450" s="3" t="s">
        <v>27</v>
      </c>
    </row>
    <row r="451" spans="1:11">
      <c r="A451" s="3" t="s">
        <v>41</v>
      </c>
      <c r="B451" s="3" t="s">
        <v>37</v>
      </c>
      <c r="C451" s="3" t="s">
        <v>156</v>
      </c>
      <c r="D451" s="3" t="s">
        <v>157</v>
      </c>
      <c r="E451" s="7">
        <v>4</v>
      </c>
      <c r="F451" s="7">
        <v>3</v>
      </c>
      <c r="G451" s="7">
        <v>3</v>
      </c>
      <c r="H451" s="7">
        <v>4</v>
      </c>
      <c r="I451" s="7">
        <v>3</v>
      </c>
      <c r="J451" s="6"/>
      <c r="K451" s="3" t="s">
        <v>27</v>
      </c>
    </row>
    <row r="452" spans="1:11">
      <c r="A452" s="3" t="s">
        <v>41</v>
      </c>
      <c r="B452" s="3" t="s">
        <v>37</v>
      </c>
      <c r="C452" s="3" t="s">
        <v>162</v>
      </c>
      <c r="D452" s="3" t="s">
        <v>157</v>
      </c>
      <c r="E452" s="7">
        <v>4</v>
      </c>
      <c r="F452" s="7">
        <v>4</v>
      </c>
      <c r="G452" s="7">
        <v>3</v>
      </c>
      <c r="H452" s="7">
        <v>4</v>
      </c>
      <c r="I452" s="7">
        <v>4</v>
      </c>
      <c r="J452" s="6" t="s">
        <v>251</v>
      </c>
      <c r="K452" s="3" t="s">
        <v>27</v>
      </c>
    </row>
    <row r="453" spans="1:11">
      <c r="A453" s="3" t="s">
        <v>41</v>
      </c>
      <c r="B453" s="3" t="s">
        <v>37</v>
      </c>
      <c r="C453" s="3" t="s">
        <v>165</v>
      </c>
      <c r="D453" s="3" t="s">
        <v>157</v>
      </c>
      <c r="E453" s="7">
        <v>3</v>
      </c>
      <c r="F453" s="7">
        <v>3</v>
      </c>
      <c r="G453" s="7">
        <v>4</v>
      </c>
      <c r="H453" s="7">
        <v>3</v>
      </c>
      <c r="I453" s="7">
        <v>4</v>
      </c>
      <c r="J453" s="6"/>
      <c r="K453" s="3" t="s">
        <v>27</v>
      </c>
    </row>
    <row r="454" spans="1:11">
      <c r="A454" s="3" t="s">
        <v>41</v>
      </c>
      <c r="B454" s="3" t="s">
        <v>37</v>
      </c>
      <c r="C454" s="3" t="s">
        <v>168</v>
      </c>
      <c r="D454" s="3" t="s">
        <v>157</v>
      </c>
      <c r="E454" s="7">
        <v>3</v>
      </c>
      <c r="F454" s="7">
        <v>4</v>
      </c>
      <c r="G454" s="7">
        <v>4</v>
      </c>
      <c r="H454" s="7">
        <v>3</v>
      </c>
      <c r="I454" s="7">
        <v>4</v>
      </c>
      <c r="J454" s="6" t="s">
        <v>252</v>
      </c>
      <c r="K454" s="3" t="s">
        <v>27</v>
      </c>
    </row>
    <row r="455" spans="1:11">
      <c r="A455" s="3" t="s">
        <v>41</v>
      </c>
      <c r="B455" s="3" t="s">
        <v>37</v>
      </c>
      <c r="C455" s="3" t="s">
        <v>25</v>
      </c>
      <c r="D455" s="3" t="s">
        <v>171</v>
      </c>
      <c r="E455" s="7">
        <v>4</v>
      </c>
      <c r="F455" s="7">
        <v>4</v>
      </c>
      <c r="G455" s="7">
        <v>4</v>
      </c>
      <c r="H455" s="7">
        <v>4</v>
      </c>
      <c r="I455" s="7">
        <v>4</v>
      </c>
      <c r="J455" s="6"/>
      <c r="K455" s="3" t="s">
        <v>27</v>
      </c>
    </row>
    <row r="456" spans="1:11">
      <c r="A456" s="3" t="s">
        <v>41</v>
      </c>
      <c r="B456" s="3" t="s">
        <v>37</v>
      </c>
      <c r="C456" s="3" t="s">
        <v>31</v>
      </c>
      <c r="D456" s="3" t="s">
        <v>171</v>
      </c>
      <c r="E456" s="7">
        <v>3</v>
      </c>
      <c r="F456" s="7">
        <v>4</v>
      </c>
      <c r="G456" s="7">
        <v>3</v>
      </c>
      <c r="H456" s="7">
        <v>4</v>
      </c>
      <c r="I456" s="7">
        <v>4</v>
      </c>
      <c r="J456" s="6"/>
      <c r="K456" s="3" t="s">
        <v>27</v>
      </c>
    </row>
    <row r="457" spans="1:11">
      <c r="A457" s="3" t="s">
        <v>41</v>
      </c>
      <c r="B457" s="3" t="s">
        <v>37</v>
      </c>
      <c r="C457" s="3" t="s">
        <v>32</v>
      </c>
      <c r="D457" s="3" t="s">
        <v>171</v>
      </c>
      <c r="E457" s="7">
        <v>3</v>
      </c>
      <c r="F457" s="7">
        <v>4</v>
      </c>
      <c r="G457" s="7">
        <v>4</v>
      </c>
      <c r="H457" s="7">
        <v>4</v>
      </c>
      <c r="I457" s="7">
        <v>4</v>
      </c>
      <c r="J457" s="6"/>
      <c r="K457" s="3" t="s">
        <v>27</v>
      </c>
    </row>
    <row r="458" spans="1:11">
      <c r="A458" s="3" t="s">
        <v>41</v>
      </c>
      <c r="B458" s="3" t="s">
        <v>37</v>
      </c>
      <c r="C458" s="3" t="s">
        <v>33</v>
      </c>
      <c r="D458" s="3" t="s">
        <v>171</v>
      </c>
      <c r="E458" s="7">
        <v>4</v>
      </c>
      <c r="F458" s="7">
        <v>4</v>
      </c>
      <c r="G458" s="7">
        <v>3</v>
      </c>
      <c r="H458" s="7">
        <v>3</v>
      </c>
      <c r="I458" s="7">
        <v>3</v>
      </c>
      <c r="J458" s="6"/>
      <c r="K458" s="3" t="s">
        <v>27</v>
      </c>
    </row>
    <row r="459" spans="1:11">
      <c r="A459" s="3" t="s">
        <v>41</v>
      </c>
      <c r="B459" s="3" t="s">
        <v>37</v>
      </c>
      <c r="C459" s="3" t="s">
        <v>34</v>
      </c>
      <c r="D459" s="3" t="s">
        <v>171</v>
      </c>
      <c r="E459" s="7">
        <v>4</v>
      </c>
      <c r="F459" s="7">
        <v>4</v>
      </c>
      <c r="G459" s="7">
        <v>4</v>
      </c>
      <c r="H459" s="7">
        <v>3</v>
      </c>
      <c r="I459" s="7">
        <v>4</v>
      </c>
      <c r="J459" s="6"/>
      <c r="K459" s="3" t="s">
        <v>27</v>
      </c>
    </row>
    <row r="460" spans="1:11">
      <c r="A460" s="3" t="s">
        <v>41</v>
      </c>
      <c r="B460" s="3" t="s">
        <v>37</v>
      </c>
      <c r="C460" s="3" t="s">
        <v>35</v>
      </c>
      <c r="D460" s="3" t="s">
        <v>171</v>
      </c>
      <c r="E460" s="7">
        <v>3</v>
      </c>
      <c r="F460" s="7">
        <v>4</v>
      </c>
      <c r="G460" s="7">
        <v>4</v>
      </c>
      <c r="H460" s="7">
        <v>3</v>
      </c>
      <c r="I460" s="7">
        <v>4</v>
      </c>
      <c r="J460" s="6"/>
      <c r="K460" s="3" t="s">
        <v>27</v>
      </c>
    </row>
    <row r="461" spans="1:11">
      <c r="A461" s="3" t="s">
        <v>41</v>
      </c>
      <c r="B461" s="3" t="s">
        <v>37</v>
      </c>
      <c r="C461" s="3" t="s">
        <v>186</v>
      </c>
      <c r="D461" s="3" t="s">
        <v>171</v>
      </c>
      <c r="E461" s="7">
        <v>4</v>
      </c>
      <c r="F461" s="7">
        <v>4</v>
      </c>
      <c r="G461" s="7">
        <v>4</v>
      </c>
      <c r="H461" s="7">
        <v>3</v>
      </c>
      <c r="I461" s="7">
        <v>3</v>
      </c>
      <c r="J461" s="6"/>
      <c r="K461" s="3" t="s">
        <v>27</v>
      </c>
    </row>
    <row r="462" spans="1:11">
      <c r="A462" s="3" t="s">
        <v>41</v>
      </c>
      <c r="B462" s="3" t="s">
        <v>37</v>
      </c>
      <c r="C462" s="3" t="s">
        <v>189</v>
      </c>
      <c r="D462" s="3" t="s">
        <v>171</v>
      </c>
      <c r="E462" s="7">
        <v>4</v>
      </c>
      <c r="F462" s="7">
        <v>4</v>
      </c>
      <c r="G462" s="7">
        <v>2</v>
      </c>
      <c r="H462" s="7">
        <v>3</v>
      </c>
      <c r="I462" s="7">
        <v>4</v>
      </c>
      <c r="J462" s="6"/>
      <c r="K462" s="3" t="s">
        <v>27</v>
      </c>
    </row>
    <row r="463" spans="1:11">
      <c r="A463" s="3" t="s">
        <v>41</v>
      </c>
      <c r="B463" s="3" t="s">
        <v>37</v>
      </c>
      <c r="C463" s="3" t="s">
        <v>192</v>
      </c>
      <c r="D463" s="3" t="s">
        <v>171</v>
      </c>
      <c r="E463" s="7">
        <v>4</v>
      </c>
      <c r="F463" s="7">
        <v>3</v>
      </c>
      <c r="G463" s="7">
        <v>3</v>
      </c>
      <c r="H463" s="7">
        <v>3</v>
      </c>
      <c r="I463" s="7">
        <v>4</v>
      </c>
      <c r="J463" s="6"/>
      <c r="K463" s="3" t="s">
        <v>27</v>
      </c>
    </row>
    <row r="464" spans="1:11">
      <c r="A464" s="3" t="s">
        <v>42</v>
      </c>
      <c r="B464" s="3" t="s">
        <v>37</v>
      </c>
      <c r="C464" s="3" t="s">
        <v>54</v>
      </c>
      <c r="D464" s="3" t="s">
        <v>55</v>
      </c>
      <c r="E464" s="7">
        <v>4</v>
      </c>
      <c r="F464" s="7">
        <v>4</v>
      </c>
      <c r="G464" s="7">
        <v>3</v>
      </c>
      <c r="H464" s="7">
        <v>4</v>
      </c>
      <c r="I464" s="7">
        <v>4</v>
      </c>
      <c r="J464" s="6"/>
      <c r="K464" s="3" t="s">
        <v>27</v>
      </c>
    </row>
    <row r="465" spans="1:11">
      <c r="A465" s="3" t="s">
        <v>42</v>
      </c>
      <c r="B465" s="3" t="s">
        <v>37</v>
      </c>
      <c r="C465" s="3" t="s">
        <v>64</v>
      </c>
      <c r="D465" s="3" t="s">
        <v>55</v>
      </c>
      <c r="E465" s="7">
        <v>4</v>
      </c>
      <c r="F465" s="7">
        <v>4</v>
      </c>
      <c r="G465" s="7">
        <v>4</v>
      </c>
      <c r="H465" s="7">
        <v>3</v>
      </c>
      <c r="I465" s="7">
        <v>3</v>
      </c>
      <c r="J465" s="6"/>
      <c r="K465" s="3" t="s">
        <v>27</v>
      </c>
    </row>
    <row r="466" spans="1:11">
      <c r="A466" s="3" t="s">
        <v>42</v>
      </c>
      <c r="B466" s="3" t="s">
        <v>37</v>
      </c>
      <c r="C466" s="3" t="s">
        <v>67</v>
      </c>
      <c r="D466" s="3" t="s">
        <v>55</v>
      </c>
      <c r="E466" s="7">
        <v>3</v>
      </c>
      <c r="F466" s="7">
        <v>4</v>
      </c>
      <c r="G466" s="7">
        <v>4</v>
      </c>
      <c r="H466" s="7">
        <v>4</v>
      </c>
      <c r="I466" s="7">
        <v>4</v>
      </c>
      <c r="J466" s="6"/>
      <c r="K466" s="3" t="s">
        <v>27</v>
      </c>
    </row>
    <row r="467" spans="1:11">
      <c r="A467" s="3" t="s">
        <v>42</v>
      </c>
      <c r="B467" s="3" t="s">
        <v>37</v>
      </c>
      <c r="C467" s="3" t="s">
        <v>70</v>
      </c>
      <c r="D467" s="3" t="s">
        <v>55</v>
      </c>
      <c r="E467" s="7">
        <v>3</v>
      </c>
      <c r="F467" s="7">
        <v>4</v>
      </c>
      <c r="G467" s="7">
        <v>4</v>
      </c>
      <c r="H467" s="7">
        <v>4</v>
      </c>
      <c r="I467" s="7">
        <v>4</v>
      </c>
      <c r="J467" s="6"/>
      <c r="K467" s="3" t="s">
        <v>27</v>
      </c>
    </row>
    <row r="468" spans="1:11">
      <c r="A468" s="3" t="s">
        <v>42</v>
      </c>
      <c r="B468" s="3" t="s">
        <v>37</v>
      </c>
      <c r="C468" s="3" t="s">
        <v>74</v>
      </c>
      <c r="D468" s="3" t="s">
        <v>55</v>
      </c>
      <c r="E468" s="7">
        <v>4</v>
      </c>
      <c r="F468" s="7">
        <v>4</v>
      </c>
      <c r="G468" s="7">
        <v>3</v>
      </c>
      <c r="H468" s="7">
        <v>3</v>
      </c>
      <c r="I468" s="7">
        <v>3</v>
      </c>
      <c r="J468" s="6"/>
      <c r="K468" s="3" t="s">
        <v>27</v>
      </c>
    </row>
    <row r="469" spans="1:11">
      <c r="A469" s="3" t="s">
        <v>42</v>
      </c>
      <c r="B469" s="3" t="s">
        <v>37</v>
      </c>
      <c r="C469" s="3" t="s">
        <v>77</v>
      </c>
      <c r="D469" s="3" t="s">
        <v>55</v>
      </c>
      <c r="E469" s="7">
        <v>4</v>
      </c>
      <c r="F469" s="7">
        <v>4</v>
      </c>
      <c r="G469" s="7">
        <v>4</v>
      </c>
      <c r="H469" s="7">
        <v>4</v>
      </c>
      <c r="I469" s="7">
        <v>4</v>
      </c>
      <c r="J469" s="6"/>
      <c r="K469" s="3" t="s">
        <v>27</v>
      </c>
    </row>
    <row r="470" spans="1:11">
      <c r="A470" s="3" t="s">
        <v>42</v>
      </c>
      <c r="B470" s="3" t="s">
        <v>37</v>
      </c>
      <c r="C470" s="3" t="s">
        <v>80</v>
      </c>
      <c r="D470" s="3" t="s">
        <v>55</v>
      </c>
      <c r="E470" s="7">
        <v>4</v>
      </c>
      <c r="F470" s="7">
        <v>3</v>
      </c>
      <c r="G470" s="7">
        <v>3</v>
      </c>
      <c r="H470" s="7">
        <v>4</v>
      </c>
      <c r="I470" s="7">
        <v>4</v>
      </c>
      <c r="J470" s="6"/>
      <c r="K470" s="3" t="s">
        <v>27</v>
      </c>
    </row>
    <row r="471" spans="1:11">
      <c r="A471" s="3" t="s">
        <v>42</v>
      </c>
      <c r="B471" s="3" t="s">
        <v>37</v>
      </c>
      <c r="C471" s="3" t="s">
        <v>83</v>
      </c>
      <c r="D471" s="3" t="s">
        <v>55</v>
      </c>
      <c r="E471" s="7">
        <v>4</v>
      </c>
      <c r="F471" s="7">
        <v>3</v>
      </c>
      <c r="G471" s="7">
        <v>3</v>
      </c>
      <c r="H471" s="7">
        <v>3</v>
      </c>
      <c r="I471" s="7">
        <v>4</v>
      </c>
      <c r="J471" s="6"/>
      <c r="K471" s="3" t="s">
        <v>27</v>
      </c>
    </row>
    <row r="472" spans="1:11">
      <c r="A472" s="3" t="s">
        <v>42</v>
      </c>
      <c r="B472" s="3" t="s">
        <v>37</v>
      </c>
      <c r="C472" s="3" t="s">
        <v>87</v>
      </c>
      <c r="D472" s="3" t="s">
        <v>55</v>
      </c>
      <c r="E472" s="7">
        <v>4</v>
      </c>
      <c r="F472" s="7">
        <v>4</v>
      </c>
      <c r="G472" s="7">
        <v>3</v>
      </c>
      <c r="H472" s="7">
        <v>3</v>
      </c>
      <c r="I472" s="7">
        <v>3</v>
      </c>
      <c r="J472" s="6"/>
      <c r="K472" s="3" t="s">
        <v>27</v>
      </c>
    </row>
    <row r="473" spans="1:11">
      <c r="A473" s="3" t="s">
        <v>42</v>
      </c>
      <c r="B473" s="3" t="s">
        <v>37</v>
      </c>
      <c r="C473" s="3" t="s">
        <v>91</v>
      </c>
      <c r="D473" s="3" t="s">
        <v>55</v>
      </c>
      <c r="E473" s="7">
        <v>4</v>
      </c>
      <c r="F473" s="7">
        <v>4</v>
      </c>
      <c r="G473" s="7">
        <v>4</v>
      </c>
      <c r="H473" s="7">
        <v>3</v>
      </c>
      <c r="I473" s="7">
        <v>3</v>
      </c>
      <c r="J473" s="6"/>
      <c r="K473" s="3" t="s">
        <v>27</v>
      </c>
    </row>
    <row r="474" spans="1:11">
      <c r="A474" s="3" t="s">
        <v>42</v>
      </c>
      <c r="B474" s="3" t="s">
        <v>37</v>
      </c>
      <c r="C474" s="3" t="s">
        <v>94</v>
      </c>
      <c r="D474" s="3" t="s">
        <v>55</v>
      </c>
      <c r="E474" s="7">
        <v>4</v>
      </c>
      <c r="F474" s="7">
        <v>4</v>
      </c>
      <c r="G474" s="7">
        <v>4</v>
      </c>
      <c r="H474" s="7">
        <v>3</v>
      </c>
      <c r="I474" s="7">
        <v>4</v>
      </c>
      <c r="J474" s="6"/>
      <c r="K474" s="3" t="s">
        <v>27</v>
      </c>
    </row>
    <row r="475" spans="1:11">
      <c r="A475" s="3" t="s">
        <v>42</v>
      </c>
      <c r="B475" s="3" t="s">
        <v>37</v>
      </c>
      <c r="C475" s="3" t="s">
        <v>97</v>
      </c>
      <c r="D475" s="3" t="s">
        <v>55</v>
      </c>
      <c r="E475" s="7">
        <v>4</v>
      </c>
      <c r="F475" s="7">
        <v>4</v>
      </c>
      <c r="G475" s="7">
        <v>4</v>
      </c>
      <c r="H475" s="7">
        <v>3</v>
      </c>
      <c r="I475" s="7">
        <v>3</v>
      </c>
      <c r="J475" s="6"/>
      <c r="K475" s="3" t="s">
        <v>27</v>
      </c>
    </row>
    <row r="476" spans="1:11">
      <c r="A476" s="3" t="s">
        <v>42</v>
      </c>
      <c r="B476" s="3" t="s">
        <v>37</v>
      </c>
      <c r="C476" s="3" t="s">
        <v>100</v>
      </c>
      <c r="D476" s="3" t="s">
        <v>55</v>
      </c>
      <c r="E476" s="7">
        <v>3</v>
      </c>
      <c r="F476" s="7">
        <v>3</v>
      </c>
      <c r="G476" s="7">
        <v>4</v>
      </c>
      <c r="H476" s="7">
        <v>3</v>
      </c>
      <c r="I476" s="7">
        <v>4</v>
      </c>
      <c r="J476" s="6"/>
      <c r="K476" s="3" t="s">
        <v>27</v>
      </c>
    </row>
    <row r="477" spans="1:11">
      <c r="A477" s="3" t="s">
        <v>42</v>
      </c>
      <c r="B477" s="3" t="s">
        <v>37</v>
      </c>
      <c r="C477" s="3" t="s">
        <v>103</v>
      </c>
      <c r="D477" s="3" t="s">
        <v>55</v>
      </c>
      <c r="E477" s="7">
        <v>4</v>
      </c>
      <c r="F477" s="7">
        <v>3</v>
      </c>
      <c r="G477" s="7">
        <v>3</v>
      </c>
      <c r="H477" s="7">
        <v>3</v>
      </c>
      <c r="I477" s="7">
        <v>3</v>
      </c>
      <c r="J477" s="6"/>
      <c r="K477" s="3" t="s">
        <v>27</v>
      </c>
    </row>
    <row r="478" spans="1:11">
      <c r="A478" s="3" t="s">
        <v>42</v>
      </c>
      <c r="B478" s="3" t="s">
        <v>37</v>
      </c>
      <c r="C478" s="3" t="s">
        <v>106</v>
      </c>
      <c r="D478" s="3" t="s">
        <v>55</v>
      </c>
      <c r="E478" s="7">
        <v>4</v>
      </c>
      <c r="F478" s="7">
        <v>4</v>
      </c>
      <c r="G478" s="7">
        <v>4</v>
      </c>
      <c r="H478" s="7">
        <v>3</v>
      </c>
      <c r="I478" s="7">
        <v>4</v>
      </c>
      <c r="J478" s="6"/>
      <c r="K478" s="3" t="s">
        <v>27</v>
      </c>
    </row>
    <row r="479" spans="1:11">
      <c r="A479" s="3" t="s">
        <v>42</v>
      </c>
      <c r="B479" s="3" t="s">
        <v>37</v>
      </c>
      <c r="C479" s="3" t="s">
        <v>109</v>
      </c>
      <c r="D479" s="3" t="s">
        <v>55</v>
      </c>
      <c r="E479" s="7">
        <v>4</v>
      </c>
      <c r="F479" s="7">
        <v>4</v>
      </c>
      <c r="G479" s="7">
        <v>3</v>
      </c>
      <c r="H479" s="7">
        <v>4</v>
      </c>
      <c r="I479" s="7">
        <v>4</v>
      </c>
      <c r="J479" s="6"/>
      <c r="K479" s="3" t="s">
        <v>27</v>
      </c>
    </row>
    <row r="480" spans="1:11">
      <c r="A480" s="3" t="s">
        <v>42</v>
      </c>
      <c r="B480" s="3" t="s">
        <v>37</v>
      </c>
      <c r="C480" s="3" t="s">
        <v>113</v>
      </c>
      <c r="D480" s="3" t="s">
        <v>55</v>
      </c>
      <c r="E480" s="7">
        <v>3</v>
      </c>
      <c r="F480" s="7">
        <v>4</v>
      </c>
      <c r="G480" s="7">
        <v>2</v>
      </c>
      <c r="H480" s="7">
        <v>3</v>
      </c>
      <c r="I480" s="7">
        <v>4</v>
      </c>
      <c r="J480" s="6" t="s">
        <v>253</v>
      </c>
      <c r="K480" s="3" t="s">
        <v>27</v>
      </c>
    </row>
    <row r="481" spans="1:11">
      <c r="A481" s="3" t="s">
        <v>42</v>
      </c>
      <c r="B481" s="3" t="s">
        <v>37</v>
      </c>
      <c r="C481" s="3" t="s">
        <v>116</v>
      </c>
      <c r="D481" s="3" t="s">
        <v>55</v>
      </c>
      <c r="E481" s="7">
        <v>4</v>
      </c>
      <c r="F481" s="7">
        <v>4</v>
      </c>
      <c r="G481" s="7">
        <v>4</v>
      </c>
      <c r="H481" s="7">
        <v>3</v>
      </c>
      <c r="I481" s="7">
        <v>3</v>
      </c>
      <c r="J481" s="6"/>
      <c r="K481" s="3" t="s">
        <v>27</v>
      </c>
    </row>
    <row r="482" spans="1:11">
      <c r="A482" s="3" t="s">
        <v>42</v>
      </c>
      <c r="B482" s="3" t="s">
        <v>37</v>
      </c>
      <c r="C482" s="3" t="s">
        <v>119</v>
      </c>
      <c r="D482" s="3" t="s">
        <v>55</v>
      </c>
      <c r="E482" s="7">
        <v>4</v>
      </c>
      <c r="F482" s="7">
        <v>4</v>
      </c>
      <c r="G482" s="7">
        <v>3</v>
      </c>
      <c r="H482" s="7">
        <v>2</v>
      </c>
      <c r="I482" s="7">
        <v>4</v>
      </c>
      <c r="J482" s="6" t="s">
        <v>254</v>
      </c>
      <c r="K482" s="3" t="s">
        <v>27</v>
      </c>
    </row>
    <row r="483" spans="1:11">
      <c r="A483" s="3" t="s">
        <v>42</v>
      </c>
      <c r="B483" s="3" t="s">
        <v>37</v>
      </c>
      <c r="C483" s="3" t="s">
        <v>122</v>
      </c>
      <c r="D483" s="3" t="s">
        <v>55</v>
      </c>
      <c r="E483" s="7">
        <v>4</v>
      </c>
      <c r="F483" s="7">
        <v>4</v>
      </c>
      <c r="G483" s="7">
        <v>3</v>
      </c>
      <c r="H483" s="7">
        <v>4</v>
      </c>
      <c r="I483" s="7">
        <v>3</v>
      </c>
      <c r="J483" s="6"/>
      <c r="K483" s="3" t="s">
        <v>27</v>
      </c>
    </row>
    <row r="484" spans="1:11">
      <c r="A484" s="3" t="s">
        <v>42</v>
      </c>
      <c r="B484" s="3" t="s">
        <v>37</v>
      </c>
      <c r="C484" s="3" t="s">
        <v>125</v>
      </c>
      <c r="D484" s="3" t="s">
        <v>126</v>
      </c>
      <c r="E484" s="7">
        <v>4</v>
      </c>
      <c r="F484" s="7">
        <v>3</v>
      </c>
      <c r="G484" s="7">
        <v>3</v>
      </c>
      <c r="H484" s="7">
        <v>4</v>
      </c>
      <c r="I484" s="7">
        <v>3</v>
      </c>
      <c r="J484" s="6"/>
      <c r="K484" s="3" t="s">
        <v>27</v>
      </c>
    </row>
    <row r="485" spans="1:11">
      <c r="A485" s="3" t="s">
        <v>42</v>
      </c>
      <c r="B485" s="3" t="s">
        <v>37</v>
      </c>
      <c r="C485" s="3" t="s">
        <v>132</v>
      </c>
      <c r="D485" s="3" t="s">
        <v>126</v>
      </c>
      <c r="E485" s="7">
        <v>4</v>
      </c>
      <c r="F485" s="7">
        <v>4</v>
      </c>
      <c r="G485" s="7">
        <v>4</v>
      </c>
      <c r="H485" s="7">
        <v>3</v>
      </c>
      <c r="I485" s="7">
        <v>3</v>
      </c>
      <c r="J485" s="6"/>
      <c r="K485" s="3" t="s">
        <v>27</v>
      </c>
    </row>
    <row r="486" spans="1:11">
      <c r="A486" s="3" t="s">
        <v>42</v>
      </c>
      <c r="B486" s="3" t="s">
        <v>37</v>
      </c>
      <c r="C486" s="3" t="s">
        <v>135</v>
      </c>
      <c r="D486" s="3" t="s">
        <v>126</v>
      </c>
      <c r="E486" s="7">
        <v>4</v>
      </c>
      <c r="F486" s="7">
        <v>4</v>
      </c>
      <c r="G486" s="7">
        <v>4</v>
      </c>
      <c r="H486" s="7">
        <v>4</v>
      </c>
      <c r="I486" s="7">
        <v>3</v>
      </c>
      <c r="J486" s="6"/>
      <c r="K486" s="3" t="s">
        <v>27</v>
      </c>
    </row>
    <row r="487" spans="1:11">
      <c r="A487" s="3" t="s">
        <v>42</v>
      </c>
      <c r="B487" s="3" t="s">
        <v>37</v>
      </c>
      <c r="C487" s="3" t="s">
        <v>138</v>
      </c>
      <c r="D487" s="3" t="s">
        <v>126</v>
      </c>
      <c r="E487" s="7">
        <v>4</v>
      </c>
      <c r="F487" s="7">
        <v>4</v>
      </c>
      <c r="G487" s="7">
        <v>3</v>
      </c>
      <c r="H487" s="7">
        <v>3</v>
      </c>
      <c r="I487" s="7">
        <v>3</v>
      </c>
      <c r="J487" s="6"/>
      <c r="K487" s="3" t="s">
        <v>27</v>
      </c>
    </row>
    <row r="488" spans="1:11">
      <c r="A488" s="3" t="s">
        <v>42</v>
      </c>
      <c r="B488" s="3" t="s">
        <v>37</v>
      </c>
      <c r="C488" s="3" t="s">
        <v>141</v>
      </c>
      <c r="D488" s="3" t="s">
        <v>126</v>
      </c>
      <c r="E488" s="7">
        <v>3</v>
      </c>
      <c r="F488" s="7">
        <v>4</v>
      </c>
      <c r="G488" s="7">
        <v>4</v>
      </c>
      <c r="H488" s="7">
        <v>2</v>
      </c>
      <c r="I488" s="7">
        <v>3</v>
      </c>
      <c r="J488" s="6"/>
      <c r="K488" s="3" t="s">
        <v>27</v>
      </c>
    </row>
    <row r="489" spans="1:11">
      <c r="A489" s="3" t="s">
        <v>42</v>
      </c>
      <c r="B489" s="3" t="s">
        <v>37</v>
      </c>
      <c r="C489" s="3" t="s">
        <v>144</v>
      </c>
      <c r="D489" s="3" t="s">
        <v>126</v>
      </c>
      <c r="E489" s="7">
        <v>4</v>
      </c>
      <c r="F489" s="7">
        <v>4</v>
      </c>
      <c r="G489" s="7">
        <v>4</v>
      </c>
      <c r="H489" s="7">
        <v>3</v>
      </c>
      <c r="I489" s="7">
        <v>4</v>
      </c>
      <c r="J489" s="6"/>
      <c r="K489" s="3" t="s">
        <v>27</v>
      </c>
    </row>
    <row r="490" spans="1:11">
      <c r="A490" s="3" t="s">
        <v>42</v>
      </c>
      <c r="B490" s="3" t="s">
        <v>37</v>
      </c>
      <c r="C490" s="3" t="s">
        <v>147</v>
      </c>
      <c r="D490" s="3" t="s">
        <v>126</v>
      </c>
      <c r="E490" s="7">
        <v>4</v>
      </c>
      <c r="F490" s="7">
        <v>3</v>
      </c>
      <c r="G490" s="7">
        <v>3</v>
      </c>
      <c r="H490" s="7">
        <v>3</v>
      </c>
      <c r="I490" s="7">
        <v>4</v>
      </c>
      <c r="J490" s="6" t="s">
        <v>255</v>
      </c>
      <c r="K490" s="3" t="s">
        <v>27</v>
      </c>
    </row>
    <row r="491" spans="1:11">
      <c r="A491" s="3" t="s">
        <v>42</v>
      </c>
      <c r="B491" s="3" t="s">
        <v>37</v>
      </c>
      <c r="C491" s="3" t="s">
        <v>150</v>
      </c>
      <c r="D491" s="3" t="s">
        <v>126</v>
      </c>
      <c r="E491" s="7">
        <v>3</v>
      </c>
      <c r="F491" s="7">
        <v>3</v>
      </c>
      <c r="G491" s="7">
        <v>2</v>
      </c>
      <c r="H491" s="7">
        <v>3</v>
      </c>
      <c r="I491" s="7">
        <v>3</v>
      </c>
      <c r="J491" s="6" t="s">
        <v>256</v>
      </c>
      <c r="K491" s="3" t="s">
        <v>27</v>
      </c>
    </row>
    <row r="492" spans="1:11">
      <c r="A492" s="3" t="s">
        <v>42</v>
      </c>
      <c r="B492" s="3" t="s">
        <v>37</v>
      </c>
      <c r="C492" s="3" t="s">
        <v>153</v>
      </c>
      <c r="D492" s="3" t="s">
        <v>126</v>
      </c>
      <c r="E492" s="7">
        <v>3</v>
      </c>
      <c r="F492" s="7">
        <v>4</v>
      </c>
      <c r="G492" s="7">
        <v>4</v>
      </c>
      <c r="H492" s="7">
        <v>4</v>
      </c>
      <c r="I492" s="7">
        <v>4</v>
      </c>
      <c r="J492" s="6"/>
      <c r="K492" s="3" t="s">
        <v>27</v>
      </c>
    </row>
    <row r="493" spans="1:11">
      <c r="A493" s="3" t="s">
        <v>42</v>
      </c>
      <c r="B493" s="3" t="s">
        <v>37</v>
      </c>
      <c r="C493" s="3" t="s">
        <v>156</v>
      </c>
      <c r="D493" s="3" t="s">
        <v>157</v>
      </c>
      <c r="E493" s="7">
        <v>4</v>
      </c>
      <c r="F493" s="7">
        <v>3</v>
      </c>
      <c r="G493" s="7">
        <v>3</v>
      </c>
      <c r="H493" s="7">
        <v>3</v>
      </c>
      <c r="I493" s="7">
        <v>4</v>
      </c>
      <c r="J493" s="6"/>
      <c r="K493" s="3" t="s">
        <v>27</v>
      </c>
    </row>
    <row r="494" spans="1:11">
      <c r="A494" s="3" t="s">
        <v>42</v>
      </c>
      <c r="B494" s="3" t="s">
        <v>37</v>
      </c>
      <c r="C494" s="3" t="s">
        <v>162</v>
      </c>
      <c r="D494" s="3" t="s">
        <v>157</v>
      </c>
      <c r="E494" s="7">
        <v>4</v>
      </c>
      <c r="F494" s="7">
        <v>4</v>
      </c>
      <c r="G494" s="7">
        <v>4</v>
      </c>
      <c r="H494" s="7">
        <v>4</v>
      </c>
      <c r="I494" s="7">
        <v>4</v>
      </c>
      <c r="J494" s="6"/>
      <c r="K494" s="3" t="s">
        <v>27</v>
      </c>
    </row>
    <row r="495" spans="1:11">
      <c r="A495" s="3" t="s">
        <v>42</v>
      </c>
      <c r="B495" s="3" t="s">
        <v>37</v>
      </c>
      <c r="C495" s="3" t="s">
        <v>165</v>
      </c>
      <c r="D495" s="3" t="s">
        <v>157</v>
      </c>
      <c r="E495" s="7">
        <v>4</v>
      </c>
      <c r="F495" s="7">
        <v>3</v>
      </c>
      <c r="G495" s="7">
        <v>3</v>
      </c>
      <c r="H495" s="7">
        <v>3</v>
      </c>
      <c r="I495" s="7">
        <v>4</v>
      </c>
      <c r="J495" s="6"/>
      <c r="K495" s="3" t="s">
        <v>27</v>
      </c>
    </row>
    <row r="496" spans="1:11">
      <c r="A496" s="3" t="s">
        <v>42</v>
      </c>
      <c r="B496" s="3" t="s">
        <v>37</v>
      </c>
      <c r="C496" s="3" t="s">
        <v>168</v>
      </c>
      <c r="D496" s="3" t="s">
        <v>157</v>
      </c>
      <c r="E496" s="7">
        <v>4</v>
      </c>
      <c r="F496" s="7">
        <v>3</v>
      </c>
      <c r="G496" s="7">
        <v>3</v>
      </c>
      <c r="H496" s="7">
        <v>3</v>
      </c>
      <c r="I496" s="7">
        <v>4</v>
      </c>
      <c r="J496" s="6" t="s">
        <v>257</v>
      </c>
      <c r="K496" s="3" t="s">
        <v>27</v>
      </c>
    </row>
    <row r="497" spans="1:11">
      <c r="A497" s="3" t="s">
        <v>42</v>
      </c>
      <c r="B497" s="3" t="s">
        <v>37</v>
      </c>
      <c r="C497" s="3" t="s">
        <v>25</v>
      </c>
      <c r="D497" s="3" t="s">
        <v>171</v>
      </c>
      <c r="E497" s="7">
        <v>4</v>
      </c>
      <c r="F497" s="7">
        <v>4</v>
      </c>
      <c r="G497" s="7">
        <v>4</v>
      </c>
      <c r="H497" s="7">
        <v>4</v>
      </c>
      <c r="I497" s="7">
        <v>3</v>
      </c>
      <c r="J497" s="6"/>
      <c r="K497" s="3" t="s">
        <v>27</v>
      </c>
    </row>
    <row r="498" spans="1:11">
      <c r="A498" s="3" t="s">
        <v>42</v>
      </c>
      <c r="B498" s="3" t="s">
        <v>37</v>
      </c>
      <c r="C498" s="3" t="s">
        <v>31</v>
      </c>
      <c r="D498" s="3" t="s">
        <v>171</v>
      </c>
      <c r="E498" s="7">
        <v>4</v>
      </c>
      <c r="F498" s="7">
        <v>3</v>
      </c>
      <c r="G498" s="7">
        <v>3</v>
      </c>
      <c r="H498" s="7">
        <v>3</v>
      </c>
      <c r="I498" s="7">
        <v>3</v>
      </c>
      <c r="J498" s="6"/>
      <c r="K498" s="3" t="s">
        <v>27</v>
      </c>
    </row>
    <row r="499" spans="1:11">
      <c r="A499" s="3" t="s">
        <v>42</v>
      </c>
      <c r="B499" s="3" t="s">
        <v>37</v>
      </c>
      <c r="C499" s="3" t="s">
        <v>32</v>
      </c>
      <c r="D499" s="3" t="s">
        <v>171</v>
      </c>
      <c r="E499" s="7">
        <v>4</v>
      </c>
      <c r="F499" s="7">
        <v>4</v>
      </c>
      <c r="G499" s="7">
        <v>3</v>
      </c>
      <c r="H499" s="7">
        <v>3</v>
      </c>
      <c r="I499" s="7">
        <v>4</v>
      </c>
      <c r="J499" s="6"/>
      <c r="K499" s="3" t="s">
        <v>27</v>
      </c>
    </row>
    <row r="500" spans="1:11">
      <c r="A500" s="3" t="s">
        <v>42</v>
      </c>
      <c r="B500" s="3" t="s">
        <v>37</v>
      </c>
      <c r="C500" s="3" t="s">
        <v>33</v>
      </c>
      <c r="D500" s="3" t="s">
        <v>171</v>
      </c>
      <c r="E500" s="7">
        <v>4</v>
      </c>
      <c r="F500" s="7">
        <v>4</v>
      </c>
      <c r="G500" s="7">
        <v>4</v>
      </c>
      <c r="H500" s="7">
        <v>4</v>
      </c>
      <c r="I500" s="7">
        <v>4</v>
      </c>
      <c r="J500" s="6"/>
      <c r="K500" s="3" t="s">
        <v>27</v>
      </c>
    </row>
    <row r="501" spans="1:11">
      <c r="A501" s="3" t="s">
        <v>42</v>
      </c>
      <c r="B501" s="3" t="s">
        <v>37</v>
      </c>
      <c r="C501" s="3" t="s">
        <v>34</v>
      </c>
      <c r="D501" s="3" t="s">
        <v>171</v>
      </c>
      <c r="E501" s="7">
        <v>4</v>
      </c>
      <c r="F501" s="7">
        <v>4</v>
      </c>
      <c r="G501" s="7">
        <v>3</v>
      </c>
      <c r="H501" s="7">
        <v>3</v>
      </c>
      <c r="I501" s="7">
        <v>3</v>
      </c>
      <c r="J501" s="6"/>
      <c r="K501" s="3" t="s">
        <v>27</v>
      </c>
    </row>
    <row r="502" spans="1:11">
      <c r="A502" s="3" t="s">
        <v>42</v>
      </c>
      <c r="B502" s="3" t="s">
        <v>37</v>
      </c>
      <c r="C502" s="3" t="s">
        <v>35</v>
      </c>
      <c r="D502" s="3" t="s">
        <v>171</v>
      </c>
      <c r="E502" s="7">
        <v>3</v>
      </c>
      <c r="F502" s="7">
        <v>4</v>
      </c>
      <c r="G502" s="7">
        <v>4</v>
      </c>
      <c r="H502" s="7">
        <v>3</v>
      </c>
      <c r="I502" s="7">
        <v>3</v>
      </c>
      <c r="J502" s="6"/>
      <c r="K502" s="3" t="s">
        <v>27</v>
      </c>
    </row>
    <row r="503" spans="1:11">
      <c r="A503" s="3" t="s">
        <v>42</v>
      </c>
      <c r="B503" s="3" t="s">
        <v>37</v>
      </c>
      <c r="C503" s="3" t="s">
        <v>186</v>
      </c>
      <c r="D503" s="3" t="s">
        <v>171</v>
      </c>
      <c r="E503" s="7">
        <v>3</v>
      </c>
      <c r="F503" s="7">
        <v>3</v>
      </c>
      <c r="G503" s="7">
        <v>4</v>
      </c>
      <c r="H503" s="7">
        <v>3</v>
      </c>
      <c r="I503" s="7">
        <v>4</v>
      </c>
      <c r="J503" s="6"/>
      <c r="K503" s="3" t="s">
        <v>27</v>
      </c>
    </row>
    <row r="504" spans="1:11">
      <c r="A504" s="3" t="s">
        <v>42</v>
      </c>
      <c r="B504" s="3" t="s">
        <v>37</v>
      </c>
      <c r="C504" s="3" t="s">
        <v>189</v>
      </c>
      <c r="D504" s="3" t="s">
        <v>171</v>
      </c>
      <c r="E504" s="7">
        <v>4</v>
      </c>
      <c r="F504" s="7">
        <v>4</v>
      </c>
      <c r="G504" s="7">
        <v>4</v>
      </c>
      <c r="H504" s="7">
        <v>2</v>
      </c>
      <c r="I504" s="7">
        <v>4</v>
      </c>
      <c r="J504" s="6"/>
      <c r="K504" s="3" t="s">
        <v>27</v>
      </c>
    </row>
    <row r="505" spans="1:11">
      <c r="A505" s="3" t="s">
        <v>42</v>
      </c>
      <c r="B505" s="3" t="s">
        <v>37</v>
      </c>
      <c r="C505" s="3" t="s">
        <v>192</v>
      </c>
      <c r="D505" s="3" t="s">
        <v>171</v>
      </c>
      <c r="E505" s="7">
        <v>3</v>
      </c>
      <c r="F505" s="7">
        <v>3</v>
      </c>
      <c r="G505" s="7">
        <v>4</v>
      </c>
      <c r="H505" s="7">
        <v>3</v>
      </c>
      <c r="I505" s="7">
        <v>3</v>
      </c>
      <c r="J505" s="6"/>
      <c r="K505" s="3" t="s">
        <v>27</v>
      </c>
    </row>
  </sheetData>
  <autoFilter xmlns:etc="http://www.wps.cn/officeDocument/2017/etCustomData" ref="A1:K505" etc:filterBottomFollowUsedRange="0">
    <extLst/>
  </autoFilter>
  <conditionalFormatting sqref="K2:K505">
    <cfRule type="containsText" dxfId="0" priority="1" operator="between" text="不完整">
      <formula>NOT(ISERROR(SEARCH("不完整",K2)))</formula>
    </cfRule>
  </conditionalFormatting>
  <dataValidations count="1">
    <dataValidation type="whole" operator="between" allowBlank="1" showInputMessage="1" showErrorMessage="1" errorTitle="无效评分" error="评分只能为1、2、3或4。" promptTitle="请输入1–4" prompt="不要用0；无法判断请留空并在意见栏说明。" sqref="E2 F2 G2 H2 I2 E3 F3 G3 H3 I3 E4 F4 G4 H4 I4 E5 F5 G5 H5 I5 E6 F6 G6 H6 I6 E7 F7 G7 H7 I7 E8 F8 G8 H8 I8 E9 F9 G9 H9 I9 E10 F10 G10 H10 I10 E11 F11 G11 H11 I11 E12 F12 G12 H12 I12 E13 F13 G13 H13 I13 E14 F14 G14 H14 I14 E15 F15 G15 H15 I15 E16 F16 G16 H16 I16 E17 F17 G17 H17 I17 E18 F18 G18 H18 I18 E19 F19 G19 H19 I19 E20 F20 G20 H20 I20 E21 F21 G21 H21 I21 E22 F22 G22 H22 I22 E23 F23 G23 H23 I23 E24 F24 G24 H24 I24 E25 F25 G25 H25 I25 E26 F26 G26 H26 I26 E27 F27 G27 H27 I27 E28 F28 G28 H28 I28 E29 F29 G29 H29 I29 E30 F30 G30 H30 I30 E31 F31 G31 H31 I31 E32 F32 G32 H32 I32 E33 F33 G33 H33 I33 E34 F34 G34 H34 I34 E35 F35 G35 H35 I35 E36 F36 G36 H36 I36 E37 F37 G37 H37 I37 E38 F38 G38 H38 I38 E39 F39 G39 H39 I39 E40 F40 G40 H40 I40 E41 F41 G41 H41 I41 E42 F42 G42 H42 I42 E43 F43 G43 H43 I43 E44 F44 G44 H44 I44 E45 F45 G45 H45 I45 E46 F46 G46 H46 I46 E47 F47 G47 H47 I47 E48 F48 G48 H48 I48 E49 F49 G49 H49 I49 E50 F50 G50 H50 I50 E51 F51 G51 H51 I51 E52 F52 G52 H52 I52 E53 F53 G53 H53 I53 E54 F54 G54 H54 I54 E55 F55 G55 H55 I55 E56 F56 G56 H56 I56 E57 F57 G57 H57 I57 E58 F58 G58 H58 I58 E59 F59 G59 H59 I59 E60 F60 G60 H60 I60 E61 F61 G61 H61 I61 E62 F62 G62 H62 I62 E63 F63 G63 H63 I63 E64 F64 G64 H64 I64 E65 F65 G65 H65 I65 E66 F66 G66 H66 I66 E67 F67 G67 H67 I67 E68 F68 G68 H68 I68 E69 F69 G69 H69 I69 E70 F70 G70 H70 I70 E71 F71 G71 H71 I71 E72 F72 G72 H72 I72 E73 F73 G73 H73 I73 E74 F74 G74 H74 I74 E75 F75 G75 H75 I75 E76 F76 G76 H76 I76 E77 F77 G77 H77 I77 E78 F78 G78 H78 I78 E79 F79 G79 H79 I79 E80 F80 G80 H80 I80 E81 F81 G81 H81 I81 E82 F82 G82 H82 I82 E83 F83 G83 H83 I83 E84 F84 G84 H84 I84 E85 F85 G85 H85 I85 E86 F86 G86 H86 I86 E87 F87 G87 H87 I87 E88 F88 G88 H88 I88 E89 F89 G89 H89 I89 E90 F90 G90 H90 I90 E91 F91 G91 H91 I91 E92 F92 G92 H92 I92 E93 F93 G93 H93 I93 E94 F94 G94 H94 I94 E95 F95 G95 H95 I95 E96 F96 G96 H96 I96 E97 F97 G97 H97 I97 E98 F98 G98 H98 I98 E99 F99 G99 H99 I99 E100 F100 G100 H100 I100 E101 F101 G101 H101 I101 E102 F102 G102 H102 I102 E103 F103 G103 H103 I103 E104 F104 G104 H104 I104 E105 F105 G105 H105 I105 E106 F106 G106 H106 I106 E107 F107 G107 H107 I107 E108 F108 G108 H108 I108 E109 F109 G109 H109 I109 E110 F110 G110 H110 I110 E111 F111 G111 H111 I111 E112 F112 G112 H112 I112 E113 F113 G113 H113 I113 E114 F114 G114 H114 I114 E115 F115 G115 H115 I115 E116 F116 G116 H116 I116 E117 F117 G117 H117 I117 E118 F118 G118 H118 I118 E119 F119 G119 H119 I119 E120 F120 G120 H120 I120 E121 F121 G121 H121 I121 E122 F122 G122 H122 I122 E123 F123 G123 H123 I123 E124 F124 G124 H124 I124 E125 F125 G125 H125 I125 E126 F126 G126 H126 I126 E127 F127 G127 H127 I127 E128 F128 G128 H128 I128 E129 F129 G129 H129 I129 E130 F130 G130 H130 I130 E131 F131 G131 H131 I131 E132 F132 G132 H132 I132 E133 F133 G133 H133 I133 E134 F134 G134 H134 I134 E135 F135 G135 H135 I135 E136 F136 G136 H136 I136 E137 F137 G137 H137 I137 E138 F138 G138 H138 I138 E139 F139 G139 H139 I139 E140 F140 G140 H140 I140 E141 F141 G141 H141 I141 E142 F142 G142 H142 I142 E143 F143 G143 H143 I143 E144 F144 G144 H144 I144 E145 F145 G145 H145 I145 E146 F146 G146 H146 I146 E147 F147 G147 H147 I147 E148 F148 G148 H148 I148 E149 F149 G149 H149 I149 E150 F150 G150 H150 I150 E151 F151 G151 H151 I151 E152 F152 G152 H152 I152 E153 F153 G153 H153 I153 E154 F154 G154 H154 I154 E155 F155 G155 H155 I155 E156 F156 G156 H156 I156 E157 F157 G157 H157 I157 E158 F158 G158 H158 I158 E159 F159 G159 H159 I159 E160 F160 G160 H160 I160 E161 F161 G161 H161 I161 E162 F162 G162 H162 I162 E163 F163 G163 H163 I163 E164 F164 G164 H164 I164 E165 F165 G165 H165 I165 E166 F166 G166 H166 I166 E167 F167 G167 H167 I167 E168 F168 G168 H168 I168 E169 F169 G169 H169 I169 E170 F170 G170 H170 I170 E171 F171 G171 H171 I171 E172 F172 G172 H172 I172 E173 F173 G173 H173 I173 E174 F174 G174 H174 I174 E175 F175 G175 H175 I175 E176 F176 G176 H176 I176 E177 F177 G177 H177 I177 E178 F178 G178 H178 I178 E179 F179 G179 H179 I179 E180 F180 G180 H180 I180 E181 F181 G181 H181 I181 E182 F182 G182 H182 I182 E183 F183 G183 H183 I183 E184 F184 G184 H184 I184 E185 F185 G185 H185 I185 E186 F186 G186 H186 I186 E187 F187 G187 H187 I187 E188 F188 G188 H188 I188 E189 F189 G189 H189 I189 E190 F190 G190 H190 I190 E191 F191 G191 H191 I191 E192 F192 G192 H192 I192 E193 F193 G193 H193 I193 E194 F194 G194 H194 I194 E195 F195 G195 H195 I195 E196 F196 G196 H196 I196 E197 F197 G197 H197 I197 E198 F198 G198 H198 I198 E199 F199 G199 H199 I199 E200 F200 G200 H200 I200 E201 F201 G201 H201 I201 E202 F202 G202 H202 I202 E203 F203 G203 H203 I203 E204 F204 G204 H204 I204 E205 F205 G205 H205 I205 E206 F206 G206 H206 I206 E207 F207 G207 H207 I207 E208 F208 G208 H208 I208 E209 F209 G209 H209 I209 E210 F210 G210 H210 I210 E211 F211 G211 H211 I211 E212 F212 G212 H212 I212 E213 F213 G213 H213 I213 E214 F214 G214 H214 I214 E215 F215 G215 H215 I215 E216 F216 G216 H216 I216 E217 F217 G217 H217 I217 E218 F218 G218 H218 I218 E219 F219 G219 H219 I219 E220 F220 G220 H220 I220 E221 F221 G221 H221 I221 E222 F222 G222 H222 I222 E223 F223 G223 H223 I223 E224 F224 G224 H224 I224 E225 F225 G225 H225 I225 E226 F226 G226 H226 I226 E227 F227 G227 H227 I227 E228 F228 G228 H228 I228 E229 F229 G229 H229 I229 E230 F230 G230 H230 I230 E231 F231 G231 H231 I231 E232 F232 G232 H232 I232 E233 F233 G233 H233 I233 E234 F234 G234 H234 I234 E235 F235 G235 H235 I235 E236 F236 G236 H236 I236 E237 F237 G237 H237 I237 E238 F238 G238 H238 I238 E239 F239 G239 H239 I239 E240 F240 G240 H240 I240 E241 F241 G241 H241 I241 E242 F242 G242 H242 I242 E243 F243 G243 H243 I243 E244 F244 G244 H244 I244 E245 F245 G245 H245 I245 E246 F246 G246 H246 I246 E247 F247 G247 H247 I247 E248 F248 G248 H248 I248 E249 F249 G249 H249 I249 E250 F250 G250 H250 I250 E251 F251 G251 H251 I251 E252 F252 G252 H252 I252 E253 F253 G253 H253 I253 E254 F254 G254 H254 I254 E255 F255 G255 H255 I255 E256 F256 G256 H256 I256 E257 F257 G257 H257 I257 E258 F258 G258 H258 I258 E259 F259 G259 H259 I259 E260 F260 G260 H260 I260 E261 F261 G261 H261 I261 E262 F262 G262 H262 I262 E263 F263 G263 H263 I263 E264 F264 G264 H264 I264 E265 F265 G265 H265 I265 E266 F266 G266 H266 I266 E267 F267 G267 H267 I267 E268 F268 G268 H268 I268 E269 F269 G269 H269 I269 E270 F270 G270 H270 I270 E271 F271 G271 H271 I271 E272 F272 G272 H272 I272 E273 F273 G273 H273 I273 E274 F274 G274 H274 I274 E275 F275 G275 H275 I275 E276 F276 G276 H276 I276 E277 F277 G277 H277 I277 E278 F278 G278 H278 I278 E279 F279 G279 H279 I279 E280 F280 G280 H280 I280 E281 F281 G281 H281 I281 E282 F282 G282 H282 I282 E283 F283 G283 H283 I283 E284 F284 G284 H284 I284 E285 F285 G285 H285 I285 E286 F286 G286 H286 I286 E287 F287 G287 H287 I287 E288 F288 G288 H288 I288 E289 F289 G289 H289 I289 E290 F290 G290 H290 I290 E291 F291 G291 H291 I291 E292 F292 G292 H292 I292 E293 F293 G293 H293 I293 E294 F294 G294 H294 I294 E295 F295 G295 H295 I295 E296 F296 G296 H296 I296 E297 F297 G297 H297 I297 E298 F298 G298 H298 I298 E299 F299 G299 H299 I299 E300 F300 G300 H300 I300 E301 F301 G301 H301 I301 E302 F302 G302 H302 I302 E303 F303 G303 H303 I303 E304 F304 G304 H304 I304 E305 F305 G305 H305 I305 E306 F306 G306 H306 I306 E307 F307 G307 H307 I307 E308 F308 G308 H308 I308 E309 F309 G309 H309 I309 E310 F310 G310 H310 I310 E311 F311 G311 H311 I311 E312 F312 G312 H312 I312 E313 F313 G313 H313 I313 E314 F314 G314 H314 I314 E315 F315 G315 H315 I315 E316 F316 G316 H316 I316 E317 F317 G317 H317 I317 E318 F318 G318 H318 I318 E319 F319 G319 H319 I319 E320 F320 G320 H320 I320 E321 F321 G321 H321 I321 E322 F322 G322 H322 I322 E323 F323 G323 H323 I323 E324 F324 G324 H324 I324 E325 F325 G325 H325 I325 E326 F326 G326 H326 I326 E327 F327 G327 H327 I327 E328 F328 G328 H328 I328 E329 F329 G329 H329 I329 E330 F330 G330 H330 I330 E331 F331 G331 H331 I331 E332 F332 G332 H332 I332 E333 F333 G333 H333 I333 E334 F334 G334 H334 I334 E335 F335 G335 H335 I335 E336 F336 G336 H336 I336 E337 F337 G337 H337 I337 E338 F338 G338 H338 I338 E339 F339 G339 H339 I339 E340 F340 G340 H340 I340 E341 F341 G341 H341 I341 E342 F342 G342 H342 I342 E343 F343 G343 H343 I343 E344 F344 G344 H344 I344 E345 F345 G345 H345 I345 E346 F346 G346 H346 I346 E347 F347 G347 H347 I347 E348 F348 G348 H348 I348 E349 F349 G349 H349 I349 E350 F350 G350 H350 I350 E351 F351 G351 H351 I351 E352 F352 G352 H352 I352 E353 F353 G353 H353 I353 E354 F354 G354 H354 I354 E355 F355 G355 H355 I355 E356 F356 G356 H356 I356 E357 F357 G357 H357 I357 E358 F358 G358 H358 I358 E359 F359 G359 H359 I359 E360 F360 G360 H360 I360 E361 F361 G361 H361 I361 E362 F362 G362 H362 I362 E363 F363 G363 H363 I363 E364 F364 G364 H364 I364 E365 F365 G365 H365 I365 E366 F366 G366 H366 I366 E367 F367 G367 H367 I367 E368 F368 G368 H368 I368 E369 F369 G369 H369 I369 E370 F370 G370 H370 I370 E371 F371 G371 H371 I371 E372 F372 G372 H372 I372 E373 F373 G373 H373 I373 E374 F374 G374 H374 I374 E375 F375 G375 H375 I375 E376 F376 G376 H376 I376 E377 F377 G377 H377 I377 E378 F378 G378 H378 I378 E379 F379 G379 H379 I379 E380 F380 G380 H380 I380 E381 F381 G381 H381 I381 E382 F382 G382 H382 I382 E383 F383 G383 H383 I383 E384 F384 G384 H384 I384 E385 F385 G385 H385 I385 E386 F386 G386 H386 I386 E387 F387 G387 H387 I387 E388 F388 G388 H388 I388 E389 F389 G389 H389 I389 E390 F390 G390 H390 I390 E391 F391 G391 H391 I391 E392 F392 G392 H392 I392 E393 F393 G393 H393 I393 E394 F394 G394 H394 I394 E395 F395 G395 H395 I395 E396 F396 G396 H396 I396 E397 F397 G397 H397 I397 E398 F398 G398 H398 I398 E399 F399 G399 H399 I399 E400 F400 G400 H400 I400 E401 F401 G401 H401 I401 E402 F402 G402 H402 I402 E403 F403 G403 H403 I403 E404 F404 G404 H404 I404 E405 F405 G405 H405 I405 E406 F406 G406 H406 I406 E407 F407 G407 H407 I407 E408 F408 G408 H408 I408 E409 F409 G409 H409 I409 E410 F410 G410 H410 I410 E411 F411 G411 H411 I411 E412 F412 G412 H412 I412 E413 F413 G413 H413 I413 E414 F414 G414 H414 I414 E415 F415 G415 H415 I415 E416 F416 G416 H416 I416 E417 F417 G417 H417 I417 E418 F418 G418 H418 I418 E419 F419 G419 H419 I419 E420 F420 G420 H420 I420 E421 F421 G421 H421 I421 E422 F422 G422 H422 I422 E423 F423 G423 H423 I423 E424 F424 G424 H424 I424 E425 F425 G425 H425 I425 E426 F426 G426 H426 I426 E427 F427 G427 H427 I427 E428 F428 G428 H428 I428 E429 F429 G429 H429 I429 E430 F430 G430 H430 I430 E431 F431 G431 H431 I431 E432 F432 G432 H432 I432 E433 F433 G433 H433 I433 E434 F434 G434 H434 I434 E435 F435 G435 H435 I435 E436 F436 G436 H436 I436 E437 F437 G437 H437 I437 E438 F438 G438 H438 I438 E439 F439 G439 H439 I439 E440 F440 G440 H440 I440 E441 F441 G441 H441 I441 E442 F442 G442 H442 I442 E443 F443 G443 H443 I443 E444 F444 G444 H444 I444 E445 F445 G445 H445 I445 E446 F446 G446 H446 I446 E447 F447 G447 H447 I447 E448 F448 G448 H448 I448 E449 F449 G449 H449 I449 E450 F450 G450 H450 I450 E451 F451 G451 H451 I451 E452 F452 G452 H452 I452 E453 F453 G453 H453 I453 E454 F454 G454 H454 I454 E455 F455 G455 H455 I455 E456 F456 G456 H456 I456 E457 F457 G457 H457 I457 E458 F458 G458 H458 I458 E459 F459 G459 H459 I459 E460 F460 G460 H460 I460 E461 F461 G461 H461 I461 E462 F462 G462 H462 I462 E463 F463 G463 H463 I463 E464 F464 G464 H464 I464 E465 F465 G465 H465 I465 E466 F466 G466 H466 I466 E467 F467 G467 H467 I467 E468 F468 G468 H468 I468 E469 F469 G469 H469 I469 E470 F470 G470 H470 I470 E471 F471 G471 H471 I471 E472 F472 G472 H472 I472 E473 F473 G473 H473 I473 E474 F474 G474 H474 I474 E475 F475 G475 H475 I475 E476 F476 G476 H476 I476 E477 F477 G477 H477 I477 E478 F478 G478 H478 I478 E479 F479 G479 H479 I479 E480 F480 G480 H480 I480 E481 F481 G481 H481 I481 E482 F482 G482 H482 I482 E483 F483 G483 H483 I483 E484 F484 G484 H484 I484 E485 F485 G485 H485 I485 E486 F486 G486 H486 I486 E487 F487 G487 H487 I487 E488 F488 G488 H488 I488 E489 F489 G489 H489 I489 E490 F490 G490 H490 I490 E491 F491 G491 H491 I491 E492 F492 G492 H492 I492 E493 F493 G493 H493 I493 E494 F494 G494 H494 I494 E495 F495 G495 H495 I495 E496 F496 G496 H496 I496 E497 F497 G497 H497 I497 E498 F498 G498 H498 I498 E499 F499 G499 H499 I499 E500 F500 G500 H500 I500 E501 F501 G501 H501 I501 E502 F502 G502 H502 I502 E503 F503 G503 H503 I503 E504 F504 G504 H504 I504 E505 F505 G505 H505 I505">
      <formula1>1</formula1>
      <formula2>4</formula2>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1"/>
  <sheetViews>
    <sheetView workbookViewId="0">
      <pane xSplit="4" ySplit="1" topLeftCell="E2" activePane="bottomRight" state="frozen"/>
      <selection/>
      <selection pane="topRight"/>
      <selection pane="bottomLeft"/>
      <selection pane="bottomRight" activeCell="A1" sqref="A1"/>
    </sheetView>
  </sheetViews>
  <sheetFormatPr defaultColWidth="9" defaultRowHeight="14.4" outlineLevelCol="5"/>
  <cols>
    <col min="1" max="3" width="12.712962962963" customWidth="1"/>
    <col min="4" max="4" width="70.712962962963" customWidth="1"/>
    <col min="5" max="5" width="12.712962962963" customWidth="1"/>
    <col min="6" max="6" width="40.712962962963" customWidth="1"/>
  </cols>
  <sheetData>
    <row r="1" spans="1:6">
      <c r="A1" s="5" t="s">
        <v>13</v>
      </c>
      <c r="B1" s="5" t="s">
        <v>14</v>
      </c>
      <c r="C1" s="5" t="s">
        <v>258</v>
      </c>
      <c r="D1" s="5" t="s">
        <v>259</v>
      </c>
      <c r="E1" s="5" t="s">
        <v>260</v>
      </c>
      <c r="F1" s="5" t="s">
        <v>261</v>
      </c>
    </row>
    <row r="2" ht="28.8" spans="1:6">
      <c r="A2" s="3" t="s">
        <v>25</v>
      </c>
      <c r="B2" s="3" t="s">
        <v>26</v>
      </c>
      <c r="C2" s="3" t="s">
        <v>262</v>
      </c>
      <c r="D2" s="3" t="s">
        <v>263</v>
      </c>
      <c r="E2" s="7">
        <v>4</v>
      </c>
      <c r="F2" s="6" t="s">
        <v>264</v>
      </c>
    </row>
    <row r="3" ht="28.8" spans="1:6">
      <c r="A3" s="3" t="s">
        <v>25</v>
      </c>
      <c r="B3" s="3" t="s">
        <v>26</v>
      </c>
      <c r="C3" s="3" t="s">
        <v>265</v>
      </c>
      <c r="D3" s="3" t="s">
        <v>266</v>
      </c>
      <c r="E3" s="7">
        <v>4</v>
      </c>
      <c r="F3" s="6" t="s">
        <v>267</v>
      </c>
    </row>
    <row r="4" ht="28.8" spans="1:6">
      <c r="A4" s="3" t="s">
        <v>25</v>
      </c>
      <c r="B4" s="3" t="s">
        <v>26</v>
      </c>
      <c r="C4" s="3" t="s">
        <v>268</v>
      </c>
      <c r="D4" s="3" t="s">
        <v>269</v>
      </c>
      <c r="E4" s="7">
        <v>4</v>
      </c>
      <c r="F4" s="6" t="s">
        <v>270</v>
      </c>
    </row>
    <row r="5" ht="28.8" spans="1:6">
      <c r="A5" s="3" t="s">
        <v>25</v>
      </c>
      <c r="B5" s="3" t="s">
        <v>26</v>
      </c>
      <c r="C5" s="3" t="s">
        <v>271</v>
      </c>
      <c r="D5" s="3" t="s">
        <v>272</v>
      </c>
      <c r="E5" s="7">
        <v>4</v>
      </c>
      <c r="F5" s="6" t="s">
        <v>273</v>
      </c>
    </row>
    <row r="6" ht="28.8" spans="1:6">
      <c r="A6" s="3" t="s">
        <v>25</v>
      </c>
      <c r="B6" s="3" t="s">
        <v>26</v>
      </c>
      <c r="C6" s="3" t="s">
        <v>274</v>
      </c>
      <c r="D6" s="3" t="s">
        <v>275</v>
      </c>
      <c r="E6" s="7">
        <v>3</v>
      </c>
      <c r="F6" s="6" t="s">
        <v>276</v>
      </c>
    </row>
    <row r="7" ht="28.8" spans="1:6">
      <c r="A7" s="3" t="s">
        <v>31</v>
      </c>
      <c r="B7" s="3" t="s">
        <v>26</v>
      </c>
      <c r="C7" s="3" t="s">
        <v>262</v>
      </c>
      <c r="D7" s="3" t="s">
        <v>263</v>
      </c>
      <c r="E7" s="7">
        <v>4</v>
      </c>
      <c r="F7" s="6" t="s">
        <v>264</v>
      </c>
    </row>
    <row r="8" ht="28.8" spans="1:6">
      <c r="A8" s="3" t="s">
        <v>31</v>
      </c>
      <c r="B8" s="3" t="s">
        <v>26</v>
      </c>
      <c r="C8" s="3" t="s">
        <v>265</v>
      </c>
      <c r="D8" s="3" t="s">
        <v>266</v>
      </c>
      <c r="E8" s="7">
        <v>4</v>
      </c>
      <c r="F8" s="6" t="s">
        <v>267</v>
      </c>
    </row>
    <row r="9" ht="28.8" spans="1:6">
      <c r="A9" s="3" t="s">
        <v>31</v>
      </c>
      <c r="B9" s="3" t="s">
        <v>26</v>
      </c>
      <c r="C9" s="3" t="s">
        <v>268</v>
      </c>
      <c r="D9" s="3" t="s">
        <v>269</v>
      </c>
      <c r="E9" s="7">
        <v>4</v>
      </c>
      <c r="F9" s="6" t="s">
        <v>270</v>
      </c>
    </row>
    <row r="10" ht="28.8" spans="1:6">
      <c r="A10" s="3" t="s">
        <v>31</v>
      </c>
      <c r="B10" s="3" t="s">
        <v>26</v>
      </c>
      <c r="C10" s="3" t="s">
        <v>271</v>
      </c>
      <c r="D10" s="3" t="s">
        <v>272</v>
      </c>
      <c r="E10" s="7">
        <v>4</v>
      </c>
      <c r="F10" s="6" t="s">
        <v>273</v>
      </c>
    </row>
    <row r="11" ht="28.8" spans="1:6">
      <c r="A11" s="3" t="s">
        <v>31</v>
      </c>
      <c r="B11" s="3" t="s">
        <v>26</v>
      </c>
      <c r="C11" s="3" t="s">
        <v>274</v>
      </c>
      <c r="D11" s="3" t="s">
        <v>275</v>
      </c>
      <c r="E11" s="7">
        <v>3</v>
      </c>
      <c r="F11" s="6" t="s">
        <v>276</v>
      </c>
    </row>
    <row r="12" ht="28.8" spans="1:6">
      <c r="A12" s="3" t="s">
        <v>32</v>
      </c>
      <c r="B12" s="3" t="s">
        <v>26</v>
      </c>
      <c r="C12" s="3" t="s">
        <v>262</v>
      </c>
      <c r="D12" s="3" t="s">
        <v>263</v>
      </c>
      <c r="E12" s="7">
        <v>4</v>
      </c>
      <c r="F12" s="6" t="s">
        <v>264</v>
      </c>
    </row>
    <row r="13" ht="28.8" spans="1:6">
      <c r="A13" s="3" t="s">
        <v>32</v>
      </c>
      <c r="B13" s="3" t="s">
        <v>26</v>
      </c>
      <c r="C13" s="3" t="s">
        <v>265</v>
      </c>
      <c r="D13" s="3" t="s">
        <v>266</v>
      </c>
      <c r="E13" s="7">
        <v>4</v>
      </c>
      <c r="F13" s="6" t="s">
        <v>267</v>
      </c>
    </row>
    <row r="14" ht="28.8" spans="1:6">
      <c r="A14" s="3" t="s">
        <v>32</v>
      </c>
      <c r="B14" s="3" t="s">
        <v>26</v>
      </c>
      <c r="C14" s="3" t="s">
        <v>268</v>
      </c>
      <c r="D14" s="3" t="s">
        <v>269</v>
      </c>
      <c r="E14" s="7">
        <v>4</v>
      </c>
      <c r="F14" s="6" t="s">
        <v>270</v>
      </c>
    </row>
    <row r="15" ht="28.8" spans="1:6">
      <c r="A15" s="3" t="s">
        <v>32</v>
      </c>
      <c r="B15" s="3" t="s">
        <v>26</v>
      </c>
      <c r="C15" s="3" t="s">
        <v>271</v>
      </c>
      <c r="D15" s="3" t="s">
        <v>272</v>
      </c>
      <c r="E15" s="7">
        <v>4</v>
      </c>
      <c r="F15" s="6" t="s">
        <v>273</v>
      </c>
    </row>
    <row r="16" ht="28.8" spans="1:6">
      <c r="A16" s="3" t="s">
        <v>32</v>
      </c>
      <c r="B16" s="3" t="s">
        <v>26</v>
      </c>
      <c r="C16" s="3" t="s">
        <v>274</v>
      </c>
      <c r="D16" s="3" t="s">
        <v>275</v>
      </c>
      <c r="E16" s="7">
        <v>3</v>
      </c>
      <c r="F16" s="6" t="s">
        <v>276</v>
      </c>
    </row>
    <row r="17" ht="28.8" spans="1:6">
      <c r="A17" s="3" t="s">
        <v>33</v>
      </c>
      <c r="B17" s="3" t="s">
        <v>26</v>
      </c>
      <c r="C17" s="3" t="s">
        <v>262</v>
      </c>
      <c r="D17" s="3" t="s">
        <v>263</v>
      </c>
      <c r="E17" s="7">
        <v>4</v>
      </c>
      <c r="F17" s="6" t="s">
        <v>264</v>
      </c>
    </row>
    <row r="18" ht="28.8" spans="1:6">
      <c r="A18" s="3" t="s">
        <v>33</v>
      </c>
      <c r="B18" s="3" t="s">
        <v>26</v>
      </c>
      <c r="C18" s="3" t="s">
        <v>265</v>
      </c>
      <c r="D18" s="3" t="s">
        <v>266</v>
      </c>
      <c r="E18" s="7">
        <v>4</v>
      </c>
      <c r="F18" s="6" t="s">
        <v>267</v>
      </c>
    </row>
    <row r="19" ht="28.8" spans="1:6">
      <c r="A19" s="3" t="s">
        <v>33</v>
      </c>
      <c r="B19" s="3" t="s">
        <v>26</v>
      </c>
      <c r="C19" s="3" t="s">
        <v>268</v>
      </c>
      <c r="D19" s="3" t="s">
        <v>269</v>
      </c>
      <c r="E19" s="7">
        <v>4</v>
      </c>
      <c r="F19" s="6" t="s">
        <v>270</v>
      </c>
    </row>
    <row r="20" ht="28.8" spans="1:6">
      <c r="A20" s="3" t="s">
        <v>33</v>
      </c>
      <c r="B20" s="3" t="s">
        <v>26</v>
      </c>
      <c r="C20" s="3" t="s">
        <v>271</v>
      </c>
      <c r="D20" s="3" t="s">
        <v>272</v>
      </c>
      <c r="E20" s="7">
        <v>4</v>
      </c>
      <c r="F20" s="6" t="s">
        <v>273</v>
      </c>
    </row>
    <row r="21" ht="28.8" spans="1:6">
      <c r="A21" s="3" t="s">
        <v>33</v>
      </c>
      <c r="B21" s="3" t="s">
        <v>26</v>
      </c>
      <c r="C21" s="3" t="s">
        <v>274</v>
      </c>
      <c r="D21" s="3" t="s">
        <v>275</v>
      </c>
      <c r="E21" s="7">
        <v>3</v>
      </c>
      <c r="F21" s="6" t="s">
        <v>276</v>
      </c>
    </row>
    <row r="22" ht="28.8" spans="1:6">
      <c r="A22" s="3" t="s">
        <v>34</v>
      </c>
      <c r="B22" s="3" t="s">
        <v>26</v>
      </c>
      <c r="C22" s="3" t="s">
        <v>262</v>
      </c>
      <c r="D22" s="3" t="s">
        <v>263</v>
      </c>
      <c r="E22" s="7">
        <v>4</v>
      </c>
      <c r="F22" s="6" t="s">
        <v>264</v>
      </c>
    </row>
    <row r="23" ht="28.8" spans="1:6">
      <c r="A23" s="3" t="s">
        <v>34</v>
      </c>
      <c r="B23" s="3" t="s">
        <v>26</v>
      </c>
      <c r="C23" s="3" t="s">
        <v>265</v>
      </c>
      <c r="D23" s="3" t="s">
        <v>266</v>
      </c>
      <c r="E23" s="7">
        <v>4</v>
      </c>
      <c r="F23" s="6" t="s">
        <v>267</v>
      </c>
    </row>
    <row r="24" ht="28.8" spans="1:6">
      <c r="A24" s="3" t="s">
        <v>34</v>
      </c>
      <c r="B24" s="3" t="s">
        <v>26</v>
      </c>
      <c r="C24" s="3" t="s">
        <v>268</v>
      </c>
      <c r="D24" s="3" t="s">
        <v>269</v>
      </c>
      <c r="E24" s="7">
        <v>4</v>
      </c>
      <c r="F24" s="6" t="s">
        <v>270</v>
      </c>
    </row>
    <row r="25" ht="28.8" spans="1:6">
      <c r="A25" s="3" t="s">
        <v>34</v>
      </c>
      <c r="B25" s="3" t="s">
        <v>26</v>
      </c>
      <c r="C25" s="3" t="s">
        <v>271</v>
      </c>
      <c r="D25" s="3" t="s">
        <v>272</v>
      </c>
      <c r="E25" s="7">
        <v>4</v>
      </c>
      <c r="F25" s="6" t="s">
        <v>273</v>
      </c>
    </row>
    <row r="26" ht="28.8" spans="1:6">
      <c r="A26" s="3" t="s">
        <v>34</v>
      </c>
      <c r="B26" s="3" t="s">
        <v>26</v>
      </c>
      <c r="C26" s="3" t="s">
        <v>274</v>
      </c>
      <c r="D26" s="3" t="s">
        <v>275</v>
      </c>
      <c r="E26" s="7">
        <v>3</v>
      </c>
      <c r="F26" s="6" t="s">
        <v>276</v>
      </c>
    </row>
    <row r="27" ht="28.8" spans="1:6">
      <c r="A27" s="3" t="s">
        <v>35</v>
      </c>
      <c r="B27" s="3" t="s">
        <v>26</v>
      </c>
      <c r="C27" s="3" t="s">
        <v>262</v>
      </c>
      <c r="D27" s="3" t="s">
        <v>263</v>
      </c>
      <c r="E27" s="7">
        <v>4</v>
      </c>
      <c r="F27" s="6" t="s">
        <v>264</v>
      </c>
    </row>
    <row r="28" ht="28.8" spans="1:6">
      <c r="A28" s="3" t="s">
        <v>35</v>
      </c>
      <c r="B28" s="3" t="s">
        <v>26</v>
      </c>
      <c r="C28" s="3" t="s">
        <v>265</v>
      </c>
      <c r="D28" s="3" t="s">
        <v>266</v>
      </c>
      <c r="E28" s="7">
        <v>3</v>
      </c>
      <c r="F28" s="6" t="s">
        <v>267</v>
      </c>
    </row>
    <row r="29" ht="28.8" spans="1:6">
      <c r="A29" s="3" t="s">
        <v>35</v>
      </c>
      <c r="B29" s="3" t="s">
        <v>26</v>
      </c>
      <c r="C29" s="3" t="s">
        <v>268</v>
      </c>
      <c r="D29" s="3" t="s">
        <v>269</v>
      </c>
      <c r="E29" s="7">
        <v>4</v>
      </c>
      <c r="F29" s="6" t="s">
        <v>270</v>
      </c>
    </row>
    <row r="30" ht="28.8" spans="1:6">
      <c r="A30" s="3" t="s">
        <v>35</v>
      </c>
      <c r="B30" s="3" t="s">
        <v>26</v>
      </c>
      <c r="C30" s="3" t="s">
        <v>271</v>
      </c>
      <c r="D30" s="3" t="s">
        <v>272</v>
      </c>
      <c r="E30" s="7">
        <v>4</v>
      </c>
      <c r="F30" s="6" t="s">
        <v>273</v>
      </c>
    </row>
    <row r="31" ht="28.8" spans="1:6">
      <c r="A31" s="3" t="s">
        <v>35</v>
      </c>
      <c r="B31" s="3" t="s">
        <v>26</v>
      </c>
      <c r="C31" s="3" t="s">
        <v>274</v>
      </c>
      <c r="D31" s="3" t="s">
        <v>275</v>
      </c>
      <c r="E31" s="7">
        <v>3</v>
      </c>
      <c r="F31" s="6" t="s">
        <v>276</v>
      </c>
    </row>
    <row r="32" ht="28.8" spans="1:6">
      <c r="A32" s="3" t="s">
        <v>36</v>
      </c>
      <c r="B32" s="3" t="s">
        <v>37</v>
      </c>
      <c r="C32" s="3" t="s">
        <v>262</v>
      </c>
      <c r="D32" s="3" t="s">
        <v>263</v>
      </c>
      <c r="E32" s="7">
        <v>4</v>
      </c>
      <c r="F32" s="6" t="s">
        <v>264</v>
      </c>
    </row>
    <row r="33" ht="28.8" spans="1:6">
      <c r="A33" s="3" t="s">
        <v>36</v>
      </c>
      <c r="B33" s="3" t="s">
        <v>37</v>
      </c>
      <c r="C33" s="3" t="s">
        <v>265</v>
      </c>
      <c r="D33" s="3" t="s">
        <v>266</v>
      </c>
      <c r="E33" s="7">
        <v>4</v>
      </c>
      <c r="F33" s="6" t="s">
        <v>267</v>
      </c>
    </row>
    <row r="34" ht="28.8" spans="1:6">
      <c r="A34" s="3" t="s">
        <v>36</v>
      </c>
      <c r="B34" s="3" t="s">
        <v>37</v>
      </c>
      <c r="C34" s="3" t="s">
        <v>268</v>
      </c>
      <c r="D34" s="3" t="s">
        <v>269</v>
      </c>
      <c r="E34" s="7">
        <v>4</v>
      </c>
      <c r="F34" s="6" t="s">
        <v>270</v>
      </c>
    </row>
    <row r="35" ht="28.8" spans="1:6">
      <c r="A35" s="3" t="s">
        <v>36</v>
      </c>
      <c r="B35" s="3" t="s">
        <v>37</v>
      </c>
      <c r="C35" s="3" t="s">
        <v>271</v>
      </c>
      <c r="D35" s="3" t="s">
        <v>272</v>
      </c>
      <c r="E35" s="7">
        <v>4</v>
      </c>
      <c r="F35" s="6" t="s">
        <v>273</v>
      </c>
    </row>
    <row r="36" ht="28.8" spans="1:6">
      <c r="A36" s="3" t="s">
        <v>36</v>
      </c>
      <c r="B36" s="3" t="s">
        <v>37</v>
      </c>
      <c r="C36" s="3" t="s">
        <v>274</v>
      </c>
      <c r="D36" s="3" t="s">
        <v>275</v>
      </c>
      <c r="E36" s="7">
        <v>3</v>
      </c>
      <c r="F36" s="6" t="s">
        <v>277</v>
      </c>
    </row>
    <row r="37" ht="28.8" spans="1:6">
      <c r="A37" s="3" t="s">
        <v>38</v>
      </c>
      <c r="B37" s="3" t="s">
        <v>37</v>
      </c>
      <c r="C37" s="3" t="s">
        <v>262</v>
      </c>
      <c r="D37" s="3" t="s">
        <v>263</v>
      </c>
      <c r="E37" s="7">
        <v>4</v>
      </c>
      <c r="F37" s="6" t="s">
        <v>264</v>
      </c>
    </row>
    <row r="38" ht="28.8" spans="1:6">
      <c r="A38" s="3" t="s">
        <v>38</v>
      </c>
      <c r="B38" s="3" t="s">
        <v>37</v>
      </c>
      <c r="C38" s="3" t="s">
        <v>265</v>
      </c>
      <c r="D38" s="3" t="s">
        <v>266</v>
      </c>
      <c r="E38" s="7">
        <v>4</v>
      </c>
      <c r="F38" s="6" t="s">
        <v>267</v>
      </c>
    </row>
    <row r="39" ht="28.8" spans="1:6">
      <c r="A39" s="3" t="s">
        <v>38</v>
      </c>
      <c r="B39" s="3" t="s">
        <v>37</v>
      </c>
      <c r="C39" s="3" t="s">
        <v>268</v>
      </c>
      <c r="D39" s="3" t="s">
        <v>269</v>
      </c>
      <c r="E39" s="7">
        <v>4</v>
      </c>
      <c r="F39" s="6" t="s">
        <v>270</v>
      </c>
    </row>
    <row r="40" ht="28.8" spans="1:6">
      <c r="A40" s="3" t="s">
        <v>38</v>
      </c>
      <c r="B40" s="3" t="s">
        <v>37</v>
      </c>
      <c r="C40" s="3" t="s">
        <v>271</v>
      </c>
      <c r="D40" s="3" t="s">
        <v>272</v>
      </c>
      <c r="E40" s="7">
        <v>4</v>
      </c>
      <c r="F40" s="6" t="s">
        <v>273</v>
      </c>
    </row>
    <row r="41" ht="28.8" spans="1:6">
      <c r="A41" s="3" t="s">
        <v>38</v>
      </c>
      <c r="B41" s="3" t="s">
        <v>37</v>
      </c>
      <c r="C41" s="3" t="s">
        <v>274</v>
      </c>
      <c r="D41" s="3" t="s">
        <v>275</v>
      </c>
      <c r="E41" s="7">
        <v>3</v>
      </c>
      <c r="F41" s="6" t="s">
        <v>277</v>
      </c>
    </row>
    <row r="42" ht="28.8" spans="1:6">
      <c r="A42" s="3" t="s">
        <v>39</v>
      </c>
      <c r="B42" s="3" t="s">
        <v>37</v>
      </c>
      <c r="C42" s="3" t="s">
        <v>262</v>
      </c>
      <c r="D42" s="3" t="s">
        <v>263</v>
      </c>
      <c r="E42" s="7">
        <v>4</v>
      </c>
      <c r="F42" s="6" t="s">
        <v>264</v>
      </c>
    </row>
    <row r="43" ht="28.8" spans="1:6">
      <c r="A43" s="3" t="s">
        <v>39</v>
      </c>
      <c r="B43" s="3" t="s">
        <v>37</v>
      </c>
      <c r="C43" s="3" t="s">
        <v>265</v>
      </c>
      <c r="D43" s="3" t="s">
        <v>266</v>
      </c>
      <c r="E43" s="7">
        <v>4</v>
      </c>
      <c r="F43" s="6" t="s">
        <v>267</v>
      </c>
    </row>
    <row r="44" ht="28.8" spans="1:6">
      <c r="A44" s="3" t="s">
        <v>39</v>
      </c>
      <c r="B44" s="3" t="s">
        <v>37</v>
      </c>
      <c r="C44" s="3" t="s">
        <v>268</v>
      </c>
      <c r="D44" s="3" t="s">
        <v>269</v>
      </c>
      <c r="E44" s="7">
        <v>4</v>
      </c>
      <c r="F44" s="6" t="s">
        <v>270</v>
      </c>
    </row>
    <row r="45" ht="28.8" spans="1:6">
      <c r="A45" s="3" t="s">
        <v>39</v>
      </c>
      <c r="B45" s="3" t="s">
        <v>37</v>
      </c>
      <c r="C45" s="3" t="s">
        <v>271</v>
      </c>
      <c r="D45" s="3" t="s">
        <v>272</v>
      </c>
      <c r="E45" s="7">
        <v>4</v>
      </c>
      <c r="F45" s="6" t="s">
        <v>273</v>
      </c>
    </row>
    <row r="46" ht="28.8" spans="1:6">
      <c r="A46" s="3" t="s">
        <v>39</v>
      </c>
      <c r="B46" s="3" t="s">
        <v>37</v>
      </c>
      <c r="C46" s="3" t="s">
        <v>274</v>
      </c>
      <c r="D46" s="3" t="s">
        <v>275</v>
      </c>
      <c r="E46" s="7">
        <v>3</v>
      </c>
      <c r="F46" s="6" t="s">
        <v>277</v>
      </c>
    </row>
    <row r="47" ht="28.8" spans="1:6">
      <c r="A47" s="3" t="s">
        <v>40</v>
      </c>
      <c r="B47" s="3" t="s">
        <v>37</v>
      </c>
      <c r="C47" s="3" t="s">
        <v>262</v>
      </c>
      <c r="D47" s="3" t="s">
        <v>263</v>
      </c>
      <c r="E47" s="7">
        <v>4</v>
      </c>
      <c r="F47" s="6" t="s">
        <v>264</v>
      </c>
    </row>
    <row r="48" ht="28.8" spans="1:6">
      <c r="A48" s="3" t="s">
        <v>40</v>
      </c>
      <c r="B48" s="3" t="s">
        <v>37</v>
      </c>
      <c r="C48" s="3" t="s">
        <v>265</v>
      </c>
      <c r="D48" s="3" t="s">
        <v>266</v>
      </c>
      <c r="E48" s="7">
        <v>4</v>
      </c>
      <c r="F48" s="6" t="s">
        <v>267</v>
      </c>
    </row>
    <row r="49" ht="28.8" spans="1:6">
      <c r="A49" s="3" t="s">
        <v>40</v>
      </c>
      <c r="B49" s="3" t="s">
        <v>37</v>
      </c>
      <c r="C49" s="3" t="s">
        <v>268</v>
      </c>
      <c r="D49" s="3" t="s">
        <v>269</v>
      </c>
      <c r="E49" s="7">
        <v>3</v>
      </c>
      <c r="F49" s="6" t="s">
        <v>270</v>
      </c>
    </row>
    <row r="50" ht="28.8" spans="1:6">
      <c r="A50" s="3" t="s">
        <v>40</v>
      </c>
      <c r="B50" s="3" t="s">
        <v>37</v>
      </c>
      <c r="C50" s="3" t="s">
        <v>271</v>
      </c>
      <c r="D50" s="3" t="s">
        <v>272</v>
      </c>
      <c r="E50" s="7">
        <v>4</v>
      </c>
      <c r="F50" s="6" t="s">
        <v>273</v>
      </c>
    </row>
    <row r="51" ht="28.8" spans="1:6">
      <c r="A51" s="3" t="s">
        <v>40</v>
      </c>
      <c r="B51" s="3" t="s">
        <v>37</v>
      </c>
      <c r="C51" s="3" t="s">
        <v>274</v>
      </c>
      <c r="D51" s="3" t="s">
        <v>275</v>
      </c>
      <c r="E51" s="7">
        <v>3</v>
      </c>
      <c r="F51" s="6" t="s">
        <v>277</v>
      </c>
    </row>
    <row r="52" ht="28.8" spans="1:6">
      <c r="A52" s="3" t="s">
        <v>41</v>
      </c>
      <c r="B52" s="3" t="s">
        <v>37</v>
      </c>
      <c r="C52" s="3" t="s">
        <v>262</v>
      </c>
      <c r="D52" s="3" t="s">
        <v>263</v>
      </c>
      <c r="E52" s="7">
        <v>4</v>
      </c>
      <c r="F52" s="6" t="s">
        <v>264</v>
      </c>
    </row>
    <row r="53" ht="28.8" spans="1:6">
      <c r="A53" s="3" t="s">
        <v>41</v>
      </c>
      <c r="B53" s="3" t="s">
        <v>37</v>
      </c>
      <c r="C53" s="3" t="s">
        <v>265</v>
      </c>
      <c r="D53" s="3" t="s">
        <v>266</v>
      </c>
      <c r="E53" s="7">
        <v>4</v>
      </c>
      <c r="F53" s="6" t="s">
        <v>267</v>
      </c>
    </row>
    <row r="54" ht="28.8" spans="1:6">
      <c r="A54" s="3" t="s">
        <v>41</v>
      </c>
      <c r="B54" s="3" t="s">
        <v>37</v>
      </c>
      <c r="C54" s="3" t="s">
        <v>268</v>
      </c>
      <c r="D54" s="3" t="s">
        <v>269</v>
      </c>
      <c r="E54" s="7">
        <v>4</v>
      </c>
      <c r="F54" s="6" t="s">
        <v>270</v>
      </c>
    </row>
    <row r="55" ht="28.8" spans="1:6">
      <c r="A55" s="3" t="s">
        <v>41</v>
      </c>
      <c r="B55" s="3" t="s">
        <v>37</v>
      </c>
      <c r="C55" s="3" t="s">
        <v>271</v>
      </c>
      <c r="D55" s="3" t="s">
        <v>272</v>
      </c>
      <c r="E55" s="7">
        <v>4</v>
      </c>
      <c r="F55" s="6" t="s">
        <v>273</v>
      </c>
    </row>
    <row r="56" ht="28.8" spans="1:6">
      <c r="A56" s="3" t="s">
        <v>41</v>
      </c>
      <c r="B56" s="3" t="s">
        <v>37</v>
      </c>
      <c r="C56" s="3" t="s">
        <v>274</v>
      </c>
      <c r="D56" s="3" t="s">
        <v>275</v>
      </c>
      <c r="E56" s="7">
        <v>3</v>
      </c>
      <c r="F56" s="6" t="s">
        <v>277</v>
      </c>
    </row>
    <row r="57" ht="28.8" spans="1:6">
      <c r="A57" s="3" t="s">
        <v>42</v>
      </c>
      <c r="B57" s="3" t="s">
        <v>37</v>
      </c>
      <c r="C57" s="3" t="s">
        <v>262</v>
      </c>
      <c r="D57" s="3" t="s">
        <v>263</v>
      </c>
      <c r="E57" s="7">
        <v>4</v>
      </c>
      <c r="F57" s="6" t="s">
        <v>264</v>
      </c>
    </row>
    <row r="58" ht="28.8" spans="1:6">
      <c r="A58" s="3" t="s">
        <v>42</v>
      </c>
      <c r="B58" s="3" t="s">
        <v>37</v>
      </c>
      <c r="C58" s="3" t="s">
        <v>265</v>
      </c>
      <c r="D58" s="3" t="s">
        <v>266</v>
      </c>
      <c r="E58" s="7">
        <v>4</v>
      </c>
      <c r="F58" s="6" t="s">
        <v>267</v>
      </c>
    </row>
    <row r="59" ht="28.8" spans="1:6">
      <c r="A59" s="3" t="s">
        <v>42</v>
      </c>
      <c r="B59" s="3" t="s">
        <v>37</v>
      </c>
      <c r="C59" s="3" t="s">
        <v>268</v>
      </c>
      <c r="D59" s="3" t="s">
        <v>269</v>
      </c>
      <c r="E59" s="7">
        <v>4</v>
      </c>
      <c r="F59" s="6" t="s">
        <v>270</v>
      </c>
    </row>
    <row r="60" ht="28.8" spans="1:6">
      <c r="A60" s="3" t="s">
        <v>42</v>
      </c>
      <c r="B60" s="3" t="s">
        <v>37</v>
      </c>
      <c r="C60" s="3" t="s">
        <v>271</v>
      </c>
      <c r="D60" s="3" t="s">
        <v>272</v>
      </c>
      <c r="E60" s="7">
        <v>4</v>
      </c>
      <c r="F60" s="6" t="s">
        <v>273</v>
      </c>
    </row>
    <row r="61" ht="28.8" spans="1:6">
      <c r="A61" s="3" t="s">
        <v>42</v>
      </c>
      <c r="B61" s="3" t="s">
        <v>37</v>
      </c>
      <c r="C61" s="3" t="s">
        <v>274</v>
      </c>
      <c r="D61" s="3" t="s">
        <v>275</v>
      </c>
      <c r="E61" s="7">
        <v>3</v>
      </c>
      <c r="F61" s="6" t="s">
        <v>277</v>
      </c>
    </row>
  </sheetData>
  <autoFilter xmlns:etc="http://www.wps.cn/officeDocument/2017/etCustomData" ref="A1:F61" etc:filterBottomFollowUsedRange="0">
    <extLst/>
  </autoFilter>
  <dataValidations count="1">
    <dataValidation type="whole" operator="between" allowBlank="1" showInputMessage="1" showErrorMessage="1" errorTitle="无效评分" error="评分只能为1、2、3或4。" promptTitle="请输入1–4" prompt="不要用0；无法判断请留空并在意见栏说明。" sqref="E2 E3 E4 E5 E6 E7 E8 E9 E10 E11 E12 E13 E14 E15 E16 E17 E18 E19 E20 E21 E22 E23 E24 E25 E26 E27 E28 E29 E30 E31 E32 E33 E34 E35 E36 E37 E38 E39 E40 E41 E42 E43 E44 E45 E46 E47 E48 E49 E50 E51 E52 E53 E54 E55 E56 E57 E58 E59 E60 E61">
      <formula1>1</formula1>
      <formula2>4</formula2>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5"/>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4"/>
  <cols>
    <col min="1" max="2" width="13.712962962963" customWidth="1"/>
    <col min="3" max="3" width="34.712962962963" customWidth="1"/>
    <col min="4" max="10" width="14.712962962963" customWidth="1"/>
    <col min="11" max="12" width="20.712962962963" customWidth="1"/>
  </cols>
  <sheetData>
    <row r="1" ht="28.8" spans="1:12">
      <c r="A1" s="5" t="s">
        <v>43</v>
      </c>
      <c r="B1" s="5" t="s">
        <v>44</v>
      </c>
      <c r="C1" s="5" t="s">
        <v>46</v>
      </c>
      <c r="D1" s="5" t="s">
        <v>278</v>
      </c>
      <c r="E1" s="5" t="s">
        <v>279</v>
      </c>
      <c r="F1" s="5" t="s">
        <v>280</v>
      </c>
      <c r="G1" s="5" t="s">
        <v>281</v>
      </c>
      <c r="H1" s="5" t="s">
        <v>282</v>
      </c>
      <c r="I1" s="5" t="s">
        <v>283</v>
      </c>
      <c r="J1" s="5" t="s">
        <v>284</v>
      </c>
      <c r="K1" s="5" t="s">
        <v>285</v>
      </c>
      <c r="L1" s="5" t="s">
        <v>286</v>
      </c>
    </row>
    <row r="2" ht="28.8" spans="1:12">
      <c r="A2" s="3" t="s">
        <v>54</v>
      </c>
      <c r="B2" s="3" t="s">
        <v>55</v>
      </c>
      <c r="C2" s="3" t="s">
        <v>57</v>
      </c>
      <c r="D2" s="8">
        <f>COUNTIFS(第一轮录入!$C$2:$C$505,A2,第一轮录入!$E$2:$E$505,"&gt;=1")</f>
        <v>12</v>
      </c>
      <c r="E2" s="8">
        <f>COUNTIFS(第一轮录入!$C$2:$C$505,A2,第一轮录入!$E$2:$E$505,"&gt;=3")</f>
        <v>12</v>
      </c>
      <c r="F2" s="9">
        <f t="shared" ref="F2:F43" si="0">IF(D2=0,"",E2/D2)</f>
        <v>1</v>
      </c>
      <c r="G2" s="9">
        <f t="shared" ref="G2:G43" si="1">IF(D2=0,"",COMBIN(D2,E2)*0.5^D2)</f>
        <v>0.000244140625</v>
      </c>
      <c r="H2" s="9">
        <f t="shared" ref="H2:H43" si="2">IF(F2="","",(F2-G2)/(1-G2))</f>
        <v>1</v>
      </c>
      <c r="I2" s="4" t="s">
        <v>287</v>
      </c>
      <c r="J2" s="4" t="s">
        <v>287</v>
      </c>
      <c r="K2" s="3" t="str">
        <f t="shared" ref="K2:K43" si="3">IF(D2&lt;12,"数据未齐",IF(AND(F2&gt;=10/12),"保留/检查IQR",IF(F2&gt;=9/12,"修订进入R2","删除或合并候选")))</f>
        <v>保留/检查IQR</v>
      </c>
      <c r="L2" s="4" t="s">
        <v>288</v>
      </c>
    </row>
    <row r="3" ht="28.8" spans="1:12">
      <c r="A3" s="3" t="s">
        <v>64</v>
      </c>
      <c r="B3" s="3" t="s">
        <v>55</v>
      </c>
      <c r="C3" s="3" t="s">
        <v>65</v>
      </c>
      <c r="D3" s="8">
        <f>COUNTIFS(第一轮录入!$C$2:$C$505,A3,第一轮录入!$E$2:$E$505,"&gt;=1")</f>
        <v>12</v>
      </c>
      <c r="E3" s="8">
        <f>COUNTIFS(第一轮录入!$C$2:$C$505,A3,第一轮录入!$E$2:$E$505,"&gt;=3")</f>
        <v>11</v>
      </c>
      <c r="F3" s="9">
        <f t="shared" si="0"/>
        <v>0.916666666666667</v>
      </c>
      <c r="G3" s="9">
        <f t="shared" si="1"/>
        <v>0.0029296875</v>
      </c>
      <c r="H3" s="9">
        <f t="shared" si="2"/>
        <v>0.916421808684296</v>
      </c>
      <c r="I3" s="4" t="s">
        <v>287</v>
      </c>
      <c r="J3" s="4" t="s">
        <v>287</v>
      </c>
      <c r="K3" s="3" t="str">
        <f t="shared" si="3"/>
        <v>保留/检查IQR</v>
      </c>
      <c r="L3" s="4" t="s">
        <v>288</v>
      </c>
    </row>
    <row r="4" ht="28.8" spans="1:12">
      <c r="A4" s="3" t="s">
        <v>67</v>
      </c>
      <c r="B4" s="3" t="s">
        <v>55</v>
      </c>
      <c r="C4" s="3" t="s">
        <v>68</v>
      </c>
      <c r="D4" s="8">
        <f>COUNTIFS(第一轮录入!$C$2:$C$505,A4,第一轮录入!$E$2:$E$505,"&gt;=1")</f>
        <v>12</v>
      </c>
      <c r="E4" s="8">
        <f>COUNTIFS(第一轮录入!$C$2:$C$505,A4,第一轮录入!$E$2:$E$505,"&gt;=3")</f>
        <v>12</v>
      </c>
      <c r="F4" s="9">
        <f t="shared" si="0"/>
        <v>1</v>
      </c>
      <c r="G4" s="9">
        <f t="shared" si="1"/>
        <v>0.000244140625</v>
      </c>
      <c r="H4" s="9">
        <f t="shared" si="2"/>
        <v>1</v>
      </c>
      <c r="I4" s="4" t="s">
        <v>287</v>
      </c>
      <c r="J4" s="4" t="s">
        <v>287</v>
      </c>
      <c r="K4" s="3" t="str">
        <f t="shared" si="3"/>
        <v>保留/检查IQR</v>
      </c>
      <c r="L4" s="4" t="s">
        <v>288</v>
      </c>
    </row>
    <row r="5" ht="28.8" spans="1:12">
      <c r="A5" s="3" t="s">
        <v>70</v>
      </c>
      <c r="B5" s="3" t="s">
        <v>55</v>
      </c>
      <c r="C5" s="3" t="s">
        <v>72</v>
      </c>
      <c r="D5" s="8">
        <f>COUNTIFS(第一轮录入!$C$2:$C$505,A5,第一轮录入!$E$2:$E$505,"&gt;=1")</f>
        <v>12</v>
      </c>
      <c r="E5" s="8">
        <f>COUNTIFS(第一轮录入!$C$2:$C$505,A5,第一轮录入!$E$2:$E$505,"&gt;=3")</f>
        <v>12</v>
      </c>
      <c r="F5" s="9">
        <f t="shared" si="0"/>
        <v>1</v>
      </c>
      <c r="G5" s="9">
        <f t="shared" si="1"/>
        <v>0.000244140625</v>
      </c>
      <c r="H5" s="9">
        <f t="shared" si="2"/>
        <v>1</v>
      </c>
      <c r="I5" s="4" t="s">
        <v>287</v>
      </c>
      <c r="J5" s="4" t="s">
        <v>287</v>
      </c>
      <c r="K5" s="3" t="str">
        <f t="shared" si="3"/>
        <v>保留/检查IQR</v>
      </c>
      <c r="L5" s="4" t="s">
        <v>288</v>
      </c>
    </row>
    <row r="6" ht="28.8" spans="1:12">
      <c r="A6" s="3" t="s">
        <v>74</v>
      </c>
      <c r="B6" s="3" t="s">
        <v>55</v>
      </c>
      <c r="C6" s="3" t="s">
        <v>75</v>
      </c>
      <c r="D6" s="8">
        <f>COUNTIFS(第一轮录入!$C$2:$C$505,A6,第一轮录入!$E$2:$E$505,"&gt;=1")</f>
        <v>12</v>
      </c>
      <c r="E6" s="8">
        <f>COUNTIFS(第一轮录入!$C$2:$C$505,A6,第一轮录入!$E$2:$E$505,"&gt;=3")</f>
        <v>12</v>
      </c>
      <c r="F6" s="9">
        <f t="shared" si="0"/>
        <v>1</v>
      </c>
      <c r="G6" s="9">
        <f t="shared" si="1"/>
        <v>0.000244140625</v>
      </c>
      <c r="H6" s="9">
        <f t="shared" si="2"/>
        <v>1</v>
      </c>
      <c r="I6" s="4" t="s">
        <v>287</v>
      </c>
      <c r="J6" s="4" t="s">
        <v>287</v>
      </c>
      <c r="K6" s="3" t="str">
        <f t="shared" si="3"/>
        <v>保留/检查IQR</v>
      </c>
      <c r="L6" s="4" t="s">
        <v>288</v>
      </c>
    </row>
    <row r="7" ht="28.8" spans="1:12">
      <c r="A7" s="3" t="s">
        <v>77</v>
      </c>
      <c r="B7" s="3" t="s">
        <v>55</v>
      </c>
      <c r="C7" s="3" t="s">
        <v>78</v>
      </c>
      <c r="D7" s="8">
        <f>COUNTIFS(第一轮录入!$C$2:$C$505,A7,第一轮录入!$E$2:$E$505,"&gt;=1")</f>
        <v>12</v>
      </c>
      <c r="E7" s="8">
        <f>COUNTIFS(第一轮录入!$C$2:$C$505,A7,第一轮录入!$E$2:$E$505,"&gt;=3")</f>
        <v>12</v>
      </c>
      <c r="F7" s="9">
        <f t="shared" si="0"/>
        <v>1</v>
      </c>
      <c r="G7" s="9">
        <f t="shared" si="1"/>
        <v>0.000244140625</v>
      </c>
      <c r="H7" s="9">
        <f t="shared" si="2"/>
        <v>1</v>
      </c>
      <c r="I7" s="4" t="s">
        <v>287</v>
      </c>
      <c r="J7" s="4" t="s">
        <v>287</v>
      </c>
      <c r="K7" s="3" t="str">
        <f t="shared" si="3"/>
        <v>保留/检查IQR</v>
      </c>
      <c r="L7" s="4" t="s">
        <v>288</v>
      </c>
    </row>
    <row r="8" ht="28.8" spans="1:12">
      <c r="A8" s="3" t="s">
        <v>80</v>
      </c>
      <c r="B8" s="3" t="s">
        <v>55</v>
      </c>
      <c r="C8" s="3" t="s">
        <v>81</v>
      </c>
      <c r="D8" s="8">
        <f>COUNTIFS(第一轮录入!$C$2:$C$505,A8,第一轮录入!$E$2:$E$505,"&gt;=1")</f>
        <v>12</v>
      </c>
      <c r="E8" s="8">
        <f>COUNTIFS(第一轮录入!$C$2:$C$505,A8,第一轮录入!$E$2:$E$505,"&gt;=3")</f>
        <v>12</v>
      </c>
      <c r="F8" s="9">
        <f t="shared" si="0"/>
        <v>1</v>
      </c>
      <c r="G8" s="9">
        <f t="shared" si="1"/>
        <v>0.000244140625</v>
      </c>
      <c r="H8" s="9">
        <f t="shared" si="2"/>
        <v>1</v>
      </c>
      <c r="I8" s="4" t="s">
        <v>287</v>
      </c>
      <c r="J8" s="4" t="s">
        <v>287</v>
      </c>
      <c r="K8" s="3" t="str">
        <f t="shared" si="3"/>
        <v>保留/检查IQR</v>
      </c>
      <c r="L8" s="4" t="s">
        <v>288</v>
      </c>
    </row>
    <row r="9" ht="28.8" spans="1:12">
      <c r="A9" s="3" t="s">
        <v>83</v>
      </c>
      <c r="B9" s="3" t="s">
        <v>55</v>
      </c>
      <c r="C9" s="3" t="s">
        <v>84</v>
      </c>
      <c r="D9" s="8">
        <f>COUNTIFS(第一轮录入!$C$2:$C$505,A9,第一轮录入!$E$2:$E$505,"&gt;=1")</f>
        <v>12</v>
      </c>
      <c r="E9" s="8">
        <f>COUNTIFS(第一轮录入!$C$2:$C$505,A9,第一轮录入!$E$2:$E$505,"&gt;=3")</f>
        <v>12</v>
      </c>
      <c r="F9" s="9">
        <f t="shared" si="0"/>
        <v>1</v>
      </c>
      <c r="G9" s="9">
        <f t="shared" si="1"/>
        <v>0.000244140625</v>
      </c>
      <c r="H9" s="9">
        <f t="shared" si="2"/>
        <v>1</v>
      </c>
      <c r="I9" s="4" t="s">
        <v>287</v>
      </c>
      <c r="J9" s="4" t="s">
        <v>287</v>
      </c>
      <c r="K9" s="3" t="str">
        <f t="shared" si="3"/>
        <v>保留/检查IQR</v>
      </c>
      <c r="L9" s="3"/>
    </row>
    <row r="10" ht="28.8" spans="1:12">
      <c r="A10" s="3" t="s">
        <v>87</v>
      </c>
      <c r="B10" s="3" t="s">
        <v>55</v>
      </c>
      <c r="C10" s="3" t="s">
        <v>89</v>
      </c>
      <c r="D10" s="8">
        <f>COUNTIFS(第一轮录入!$C$2:$C$505,A10,第一轮录入!$E$2:$E$505,"&gt;=1")</f>
        <v>12</v>
      </c>
      <c r="E10" s="8">
        <f>COUNTIFS(第一轮录入!$C$2:$C$505,A10,第一轮录入!$E$2:$E$505,"&gt;=3")</f>
        <v>12</v>
      </c>
      <c r="F10" s="9">
        <f t="shared" si="0"/>
        <v>1</v>
      </c>
      <c r="G10" s="9">
        <f t="shared" si="1"/>
        <v>0.000244140625</v>
      </c>
      <c r="H10" s="9">
        <f t="shared" si="2"/>
        <v>1</v>
      </c>
      <c r="I10" s="4" t="s">
        <v>287</v>
      </c>
      <c r="J10" s="4" t="s">
        <v>287</v>
      </c>
      <c r="K10" s="3" t="str">
        <f t="shared" si="3"/>
        <v>保留/检查IQR</v>
      </c>
      <c r="L10" s="4" t="s">
        <v>288</v>
      </c>
    </row>
    <row r="11" ht="28.8" spans="1:12">
      <c r="A11" s="3" t="s">
        <v>91</v>
      </c>
      <c r="B11" s="3" t="s">
        <v>55</v>
      </c>
      <c r="C11" s="3" t="s">
        <v>92</v>
      </c>
      <c r="D11" s="8">
        <f>COUNTIFS(第一轮录入!$C$2:$C$505,A11,第一轮录入!$E$2:$E$505,"&gt;=1")</f>
        <v>12</v>
      </c>
      <c r="E11" s="8">
        <f>COUNTIFS(第一轮录入!$C$2:$C$505,A11,第一轮录入!$E$2:$E$505,"&gt;=3")</f>
        <v>12</v>
      </c>
      <c r="F11" s="9">
        <f t="shared" si="0"/>
        <v>1</v>
      </c>
      <c r="G11" s="9">
        <f t="shared" si="1"/>
        <v>0.000244140625</v>
      </c>
      <c r="H11" s="9">
        <f t="shared" si="2"/>
        <v>1</v>
      </c>
      <c r="I11" s="4" t="s">
        <v>287</v>
      </c>
      <c r="J11" s="4" t="s">
        <v>287</v>
      </c>
      <c r="K11" s="3" t="str">
        <f t="shared" si="3"/>
        <v>保留/检查IQR</v>
      </c>
      <c r="L11" s="4" t="s">
        <v>288</v>
      </c>
    </row>
    <row r="12" ht="28.8" spans="1:12">
      <c r="A12" s="3" t="s">
        <v>94</v>
      </c>
      <c r="B12" s="3" t="s">
        <v>55</v>
      </c>
      <c r="C12" s="3" t="s">
        <v>95</v>
      </c>
      <c r="D12" s="8">
        <f>COUNTIFS(第一轮录入!$C$2:$C$505,A12,第一轮录入!$E$2:$E$505,"&gt;=1")</f>
        <v>12</v>
      </c>
      <c r="E12" s="8">
        <f>COUNTIFS(第一轮录入!$C$2:$C$505,A12,第一轮录入!$E$2:$E$505,"&gt;=3")</f>
        <v>12</v>
      </c>
      <c r="F12" s="9">
        <f t="shared" si="0"/>
        <v>1</v>
      </c>
      <c r="G12" s="9">
        <f t="shared" si="1"/>
        <v>0.000244140625</v>
      </c>
      <c r="H12" s="9">
        <f t="shared" si="2"/>
        <v>1</v>
      </c>
      <c r="I12" s="4" t="s">
        <v>287</v>
      </c>
      <c r="J12" s="4" t="s">
        <v>287</v>
      </c>
      <c r="K12" s="3" t="str">
        <f t="shared" si="3"/>
        <v>保留/检查IQR</v>
      </c>
      <c r="L12" s="4" t="s">
        <v>288</v>
      </c>
    </row>
    <row r="13" ht="28.8" spans="1:12">
      <c r="A13" s="3" t="s">
        <v>97</v>
      </c>
      <c r="B13" s="3" t="s">
        <v>55</v>
      </c>
      <c r="C13" s="3" t="s">
        <v>98</v>
      </c>
      <c r="D13" s="8">
        <f>COUNTIFS(第一轮录入!$C$2:$C$505,A13,第一轮录入!$E$2:$E$505,"&gt;=1")</f>
        <v>12</v>
      </c>
      <c r="E13" s="8">
        <f>COUNTIFS(第一轮录入!$C$2:$C$505,A13,第一轮录入!$E$2:$E$505,"&gt;=3")</f>
        <v>12</v>
      </c>
      <c r="F13" s="9">
        <f t="shared" si="0"/>
        <v>1</v>
      </c>
      <c r="G13" s="9">
        <f t="shared" si="1"/>
        <v>0.000244140625</v>
      </c>
      <c r="H13" s="9">
        <f t="shared" si="2"/>
        <v>1</v>
      </c>
      <c r="I13" s="4" t="s">
        <v>287</v>
      </c>
      <c r="J13" s="4" t="s">
        <v>287</v>
      </c>
      <c r="K13" s="3" t="str">
        <f t="shared" si="3"/>
        <v>保留/检查IQR</v>
      </c>
      <c r="L13" s="4" t="s">
        <v>288</v>
      </c>
    </row>
    <row r="14" ht="28.8" spans="1:12">
      <c r="A14" s="3" t="s">
        <v>100</v>
      </c>
      <c r="B14" s="3" t="s">
        <v>55</v>
      </c>
      <c r="C14" s="3" t="s">
        <v>101</v>
      </c>
      <c r="D14" s="8">
        <f>COUNTIFS(第一轮录入!$C$2:$C$505,A14,第一轮录入!$E$2:$E$505,"&gt;=1")</f>
        <v>12</v>
      </c>
      <c r="E14" s="8">
        <f>COUNTIFS(第一轮录入!$C$2:$C$505,A14,第一轮录入!$E$2:$E$505,"&gt;=3")</f>
        <v>12</v>
      </c>
      <c r="F14" s="9">
        <f t="shared" si="0"/>
        <v>1</v>
      </c>
      <c r="G14" s="9">
        <f t="shared" si="1"/>
        <v>0.000244140625</v>
      </c>
      <c r="H14" s="9">
        <f t="shared" si="2"/>
        <v>1</v>
      </c>
      <c r="I14" s="4" t="s">
        <v>287</v>
      </c>
      <c r="J14" s="4" t="s">
        <v>287</v>
      </c>
      <c r="K14" s="3" t="str">
        <f t="shared" si="3"/>
        <v>保留/检查IQR</v>
      </c>
      <c r="L14" s="4" t="s">
        <v>288</v>
      </c>
    </row>
    <row r="15" ht="28.8" spans="1:12">
      <c r="A15" s="3" t="s">
        <v>103</v>
      </c>
      <c r="B15" s="3" t="s">
        <v>55</v>
      </c>
      <c r="C15" s="3" t="s">
        <v>104</v>
      </c>
      <c r="D15" s="8">
        <f>COUNTIFS(第一轮录入!$C$2:$C$505,A15,第一轮录入!$E$2:$E$505,"&gt;=1")</f>
        <v>12</v>
      </c>
      <c r="E15" s="8">
        <f>COUNTIFS(第一轮录入!$C$2:$C$505,A15,第一轮录入!$E$2:$E$505,"&gt;=3")</f>
        <v>12</v>
      </c>
      <c r="F15" s="9">
        <f t="shared" si="0"/>
        <v>1</v>
      </c>
      <c r="G15" s="9">
        <f t="shared" si="1"/>
        <v>0.000244140625</v>
      </c>
      <c r="H15" s="9">
        <f t="shared" si="2"/>
        <v>1</v>
      </c>
      <c r="I15" s="4" t="s">
        <v>287</v>
      </c>
      <c r="J15" s="4" t="s">
        <v>287</v>
      </c>
      <c r="K15" s="3" t="str">
        <f t="shared" si="3"/>
        <v>保留/检查IQR</v>
      </c>
      <c r="L15" s="4" t="s">
        <v>288</v>
      </c>
    </row>
    <row r="16" ht="28.8" spans="1:12">
      <c r="A16" s="3" t="s">
        <v>106</v>
      </c>
      <c r="B16" s="3" t="s">
        <v>55</v>
      </c>
      <c r="C16" s="3" t="s">
        <v>107</v>
      </c>
      <c r="D16" s="8">
        <f>COUNTIFS(第一轮录入!$C$2:$C$505,A16,第一轮录入!$E$2:$E$505,"&gt;=1")</f>
        <v>12</v>
      </c>
      <c r="E16" s="8">
        <f>COUNTIFS(第一轮录入!$C$2:$C$505,A16,第一轮录入!$E$2:$E$505,"&gt;=3")</f>
        <v>12</v>
      </c>
      <c r="F16" s="9">
        <f t="shared" si="0"/>
        <v>1</v>
      </c>
      <c r="G16" s="9">
        <f t="shared" si="1"/>
        <v>0.000244140625</v>
      </c>
      <c r="H16" s="9">
        <f t="shared" si="2"/>
        <v>1</v>
      </c>
      <c r="I16" s="4" t="s">
        <v>287</v>
      </c>
      <c r="J16" s="4" t="s">
        <v>287</v>
      </c>
      <c r="K16" s="3" t="str">
        <f t="shared" si="3"/>
        <v>保留/检查IQR</v>
      </c>
      <c r="L16" s="4" t="s">
        <v>288</v>
      </c>
    </row>
    <row r="17" ht="28.8" spans="1:12">
      <c r="A17" s="3" t="s">
        <v>109</v>
      </c>
      <c r="B17" s="3" t="s">
        <v>55</v>
      </c>
      <c r="C17" s="3" t="s">
        <v>111</v>
      </c>
      <c r="D17" s="8">
        <f>COUNTIFS(第一轮录入!$C$2:$C$505,A17,第一轮录入!$E$2:$E$505,"&gt;=1")</f>
        <v>12</v>
      </c>
      <c r="E17" s="8">
        <f>COUNTIFS(第一轮录入!$C$2:$C$505,A17,第一轮录入!$E$2:$E$505,"&gt;=3")</f>
        <v>11</v>
      </c>
      <c r="F17" s="9">
        <f t="shared" si="0"/>
        <v>0.916666666666667</v>
      </c>
      <c r="G17" s="9">
        <f t="shared" si="1"/>
        <v>0.0029296875</v>
      </c>
      <c r="H17" s="9">
        <f t="shared" si="2"/>
        <v>0.916421808684296</v>
      </c>
      <c r="I17" s="4" t="s">
        <v>287</v>
      </c>
      <c r="J17" s="4" t="s">
        <v>287</v>
      </c>
      <c r="K17" s="3" t="str">
        <f t="shared" si="3"/>
        <v>保留/检查IQR</v>
      </c>
      <c r="L17" s="4" t="s">
        <v>288</v>
      </c>
    </row>
    <row r="18" ht="28.8" spans="1:12">
      <c r="A18" s="3" t="s">
        <v>113</v>
      </c>
      <c r="B18" s="3" t="s">
        <v>55</v>
      </c>
      <c r="C18" s="3" t="s">
        <v>114</v>
      </c>
      <c r="D18" s="8">
        <f>COUNTIFS(第一轮录入!$C$2:$C$505,A18,第一轮录入!$E$2:$E$505,"&gt;=1")</f>
        <v>12</v>
      </c>
      <c r="E18" s="8">
        <f>COUNTIFS(第一轮录入!$C$2:$C$505,A18,第一轮录入!$E$2:$E$505,"&gt;=3")</f>
        <v>11</v>
      </c>
      <c r="F18" s="9">
        <f t="shared" si="0"/>
        <v>0.916666666666667</v>
      </c>
      <c r="G18" s="9">
        <f t="shared" si="1"/>
        <v>0.0029296875</v>
      </c>
      <c r="H18" s="9">
        <f t="shared" si="2"/>
        <v>0.916421808684296</v>
      </c>
      <c r="I18" s="4" t="s">
        <v>287</v>
      </c>
      <c r="J18" s="4" t="s">
        <v>287</v>
      </c>
      <c r="K18" s="3" t="str">
        <f t="shared" si="3"/>
        <v>保留/检查IQR</v>
      </c>
      <c r="L18" s="4" t="s">
        <v>288</v>
      </c>
    </row>
    <row r="19" ht="28.8" spans="1:12">
      <c r="A19" s="3" t="s">
        <v>116</v>
      </c>
      <c r="B19" s="3" t="s">
        <v>55</v>
      </c>
      <c r="C19" s="3" t="s">
        <v>117</v>
      </c>
      <c r="D19" s="8">
        <f>COUNTIFS(第一轮录入!$C$2:$C$505,A19,第一轮录入!$E$2:$E$505,"&gt;=1")</f>
        <v>12</v>
      </c>
      <c r="E19" s="8">
        <f>COUNTIFS(第一轮录入!$C$2:$C$505,A19,第一轮录入!$E$2:$E$505,"&gt;=3")</f>
        <v>12</v>
      </c>
      <c r="F19" s="9">
        <f t="shared" si="0"/>
        <v>1</v>
      </c>
      <c r="G19" s="9">
        <f t="shared" si="1"/>
        <v>0.000244140625</v>
      </c>
      <c r="H19" s="9">
        <f t="shared" si="2"/>
        <v>1</v>
      </c>
      <c r="I19" s="4" t="s">
        <v>287</v>
      </c>
      <c r="J19" s="4" t="s">
        <v>287</v>
      </c>
      <c r="K19" s="3" t="str">
        <f t="shared" si="3"/>
        <v>保留/检查IQR</v>
      </c>
      <c r="L19" s="4" t="s">
        <v>288</v>
      </c>
    </row>
    <row r="20" ht="28.8" spans="1:12">
      <c r="A20" s="3" t="s">
        <v>119</v>
      </c>
      <c r="B20" s="3" t="s">
        <v>55</v>
      </c>
      <c r="C20" s="3" t="s">
        <v>120</v>
      </c>
      <c r="D20" s="8">
        <f>COUNTIFS(第一轮录入!$C$2:$C$505,A20,第一轮录入!$E$2:$E$505,"&gt;=1")</f>
        <v>12</v>
      </c>
      <c r="E20" s="8">
        <f>COUNTIFS(第一轮录入!$C$2:$C$505,A20,第一轮录入!$E$2:$E$505,"&gt;=3")</f>
        <v>12</v>
      </c>
      <c r="F20" s="9">
        <f t="shared" si="0"/>
        <v>1</v>
      </c>
      <c r="G20" s="9">
        <f t="shared" si="1"/>
        <v>0.000244140625</v>
      </c>
      <c r="H20" s="9">
        <f t="shared" si="2"/>
        <v>1</v>
      </c>
      <c r="I20" s="4" t="s">
        <v>287</v>
      </c>
      <c r="J20" s="4" t="s">
        <v>287</v>
      </c>
      <c r="K20" s="3" t="str">
        <f t="shared" si="3"/>
        <v>保留/检查IQR</v>
      </c>
      <c r="L20" s="4" t="s">
        <v>288</v>
      </c>
    </row>
    <row r="21" ht="28.8" spans="1:12">
      <c r="A21" s="3" t="s">
        <v>122</v>
      </c>
      <c r="B21" s="3" t="s">
        <v>55</v>
      </c>
      <c r="C21" s="3" t="s">
        <v>123</v>
      </c>
      <c r="D21" s="8">
        <f>COUNTIFS(第一轮录入!$C$2:$C$505,A21,第一轮录入!$E$2:$E$505,"&gt;=1")</f>
        <v>12</v>
      </c>
      <c r="E21" s="8">
        <f>COUNTIFS(第一轮录入!$C$2:$C$505,A21,第一轮录入!$E$2:$E$505,"&gt;=3")</f>
        <v>12</v>
      </c>
      <c r="F21" s="9">
        <f t="shared" si="0"/>
        <v>1</v>
      </c>
      <c r="G21" s="9">
        <f t="shared" si="1"/>
        <v>0.000244140625</v>
      </c>
      <c r="H21" s="9">
        <f t="shared" si="2"/>
        <v>1</v>
      </c>
      <c r="I21" s="4" t="s">
        <v>287</v>
      </c>
      <c r="J21" s="4" t="s">
        <v>287</v>
      </c>
      <c r="K21" s="3" t="str">
        <f t="shared" si="3"/>
        <v>保留/检查IQR</v>
      </c>
      <c r="L21" s="4" t="s">
        <v>288</v>
      </c>
    </row>
    <row r="22" ht="28.8" spans="1:12">
      <c r="A22" s="3" t="s">
        <v>125</v>
      </c>
      <c r="B22" s="3" t="s">
        <v>126</v>
      </c>
      <c r="C22" s="3" t="s">
        <v>128</v>
      </c>
      <c r="D22" s="8">
        <f>COUNTIFS(第一轮录入!$C$2:$C$505,A22,第一轮录入!$E$2:$E$505,"&gt;=1")</f>
        <v>12</v>
      </c>
      <c r="E22" s="8">
        <f>COUNTIFS(第一轮录入!$C$2:$C$505,A22,第一轮录入!$E$2:$E$505,"&gt;=3")</f>
        <v>12</v>
      </c>
      <c r="F22" s="9">
        <f t="shared" si="0"/>
        <v>1</v>
      </c>
      <c r="G22" s="9">
        <f t="shared" si="1"/>
        <v>0.000244140625</v>
      </c>
      <c r="H22" s="9">
        <f t="shared" si="2"/>
        <v>1</v>
      </c>
      <c r="I22" s="4" t="s">
        <v>287</v>
      </c>
      <c r="J22" s="4" t="s">
        <v>287</v>
      </c>
      <c r="K22" s="3" t="str">
        <f t="shared" si="3"/>
        <v>保留/检查IQR</v>
      </c>
      <c r="L22" s="4" t="s">
        <v>288</v>
      </c>
    </row>
    <row r="23" ht="28.8" spans="1:12">
      <c r="A23" s="3" t="s">
        <v>132</v>
      </c>
      <c r="B23" s="3" t="s">
        <v>126</v>
      </c>
      <c r="C23" s="3" t="s">
        <v>133</v>
      </c>
      <c r="D23" s="8">
        <f>COUNTIFS(第一轮录入!$C$2:$C$505,A23,第一轮录入!$E$2:$E$505,"&gt;=1")</f>
        <v>12</v>
      </c>
      <c r="E23" s="8">
        <f>COUNTIFS(第一轮录入!$C$2:$C$505,A23,第一轮录入!$E$2:$E$505,"&gt;=3")</f>
        <v>12</v>
      </c>
      <c r="F23" s="9">
        <f t="shared" si="0"/>
        <v>1</v>
      </c>
      <c r="G23" s="9">
        <f t="shared" si="1"/>
        <v>0.000244140625</v>
      </c>
      <c r="H23" s="9">
        <f t="shared" si="2"/>
        <v>1</v>
      </c>
      <c r="I23" s="4" t="s">
        <v>287</v>
      </c>
      <c r="J23" s="4" t="s">
        <v>287</v>
      </c>
      <c r="K23" s="3" t="str">
        <f t="shared" si="3"/>
        <v>保留/检查IQR</v>
      </c>
      <c r="L23" s="4" t="s">
        <v>288</v>
      </c>
    </row>
    <row r="24" ht="28.8" spans="1:12">
      <c r="A24" s="3" t="s">
        <v>135</v>
      </c>
      <c r="B24" s="3" t="s">
        <v>126</v>
      </c>
      <c r="C24" s="3" t="s">
        <v>136</v>
      </c>
      <c r="D24" s="8">
        <f>COUNTIFS(第一轮录入!$C$2:$C$505,A24,第一轮录入!$E$2:$E$505,"&gt;=1")</f>
        <v>12</v>
      </c>
      <c r="E24" s="8">
        <f>COUNTIFS(第一轮录入!$C$2:$C$505,A24,第一轮录入!$E$2:$E$505,"&gt;=3")</f>
        <v>12</v>
      </c>
      <c r="F24" s="9">
        <f t="shared" si="0"/>
        <v>1</v>
      </c>
      <c r="G24" s="9">
        <f t="shared" si="1"/>
        <v>0.000244140625</v>
      </c>
      <c r="H24" s="9">
        <f t="shared" si="2"/>
        <v>1</v>
      </c>
      <c r="I24" s="4" t="s">
        <v>287</v>
      </c>
      <c r="J24" s="4" t="s">
        <v>287</v>
      </c>
      <c r="K24" s="3" t="str">
        <f t="shared" si="3"/>
        <v>保留/检查IQR</v>
      </c>
      <c r="L24" s="4" t="s">
        <v>288</v>
      </c>
    </row>
    <row r="25" ht="28.8" spans="1:12">
      <c r="A25" s="3" t="s">
        <v>138</v>
      </c>
      <c r="B25" s="3" t="s">
        <v>126</v>
      </c>
      <c r="C25" s="3" t="s">
        <v>139</v>
      </c>
      <c r="D25" s="8">
        <f>COUNTIFS(第一轮录入!$C$2:$C$505,A25,第一轮录入!$E$2:$E$505,"&gt;=1")</f>
        <v>12</v>
      </c>
      <c r="E25" s="8">
        <f>COUNTIFS(第一轮录入!$C$2:$C$505,A25,第一轮录入!$E$2:$E$505,"&gt;=3")</f>
        <v>12</v>
      </c>
      <c r="F25" s="9">
        <f t="shared" si="0"/>
        <v>1</v>
      </c>
      <c r="G25" s="9">
        <f t="shared" si="1"/>
        <v>0.000244140625</v>
      </c>
      <c r="H25" s="9">
        <f t="shared" si="2"/>
        <v>1</v>
      </c>
      <c r="I25" s="4" t="s">
        <v>287</v>
      </c>
      <c r="J25" s="4" t="s">
        <v>287</v>
      </c>
      <c r="K25" s="3" t="str">
        <f t="shared" si="3"/>
        <v>保留/检查IQR</v>
      </c>
      <c r="L25" s="4" t="s">
        <v>288</v>
      </c>
    </row>
    <row r="26" ht="28.8" spans="1:12">
      <c r="A26" s="3" t="s">
        <v>141</v>
      </c>
      <c r="B26" s="3" t="s">
        <v>126</v>
      </c>
      <c r="C26" s="3" t="s">
        <v>142</v>
      </c>
      <c r="D26" s="8">
        <f>COUNTIFS(第一轮录入!$C$2:$C$505,A26,第一轮录入!$E$2:$E$505,"&gt;=1")</f>
        <v>12</v>
      </c>
      <c r="E26" s="8">
        <f>COUNTIFS(第一轮录入!$C$2:$C$505,A26,第一轮录入!$E$2:$E$505,"&gt;=3")</f>
        <v>12</v>
      </c>
      <c r="F26" s="9">
        <f t="shared" si="0"/>
        <v>1</v>
      </c>
      <c r="G26" s="9">
        <f t="shared" si="1"/>
        <v>0.000244140625</v>
      </c>
      <c r="H26" s="9">
        <f t="shared" si="2"/>
        <v>1</v>
      </c>
      <c r="I26" s="4" t="s">
        <v>287</v>
      </c>
      <c r="J26" s="4" t="s">
        <v>287</v>
      </c>
      <c r="K26" s="3" t="str">
        <f t="shared" si="3"/>
        <v>保留/检查IQR</v>
      </c>
      <c r="L26" s="4" t="s">
        <v>288</v>
      </c>
    </row>
    <row r="27" ht="28.8" spans="1:12">
      <c r="A27" s="3" t="s">
        <v>144</v>
      </c>
      <c r="B27" s="3" t="s">
        <v>126</v>
      </c>
      <c r="C27" s="3" t="s">
        <v>145</v>
      </c>
      <c r="D27" s="8">
        <f>COUNTIFS(第一轮录入!$C$2:$C$505,A27,第一轮录入!$E$2:$E$505,"&gt;=1")</f>
        <v>12</v>
      </c>
      <c r="E27" s="8">
        <f>COUNTIFS(第一轮录入!$C$2:$C$505,A27,第一轮录入!$E$2:$E$505,"&gt;=3")</f>
        <v>12</v>
      </c>
      <c r="F27" s="9">
        <f t="shared" si="0"/>
        <v>1</v>
      </c>
      <c r="G27" s="9">
        <f t="shared" si="1"/>
        <v>0.000244140625</v>
      </c>
      <c r="H27" s="9">
        <f t="shared" si="2"/>
        <v>1</v>
      </c>
      <c r="I27" s="4" t="s">
        <v>287</v>
      </c>
      <c r="J27" s="4" t="s">
        <v>287</v>
      </c>
      <c r="K27" s="3" t="str">
        <f t="shared" si="3"/>
        <v>保留/检查IQR</v>
      </c>
      <c r="L27" s="4" t="s">
        <v>288</v>
      </c>
    </row>
    <row r="28" ht="28.8" spans="1:12">
      <c r="A28" s="3" t="s">
        <v>147</v>
      </c>
      <c r="B28" s="3" t="s">
        <v>126</v>
      </c>
      <c r="C28" s="3" t="s">
        <v>148</v>
      </c>
      <c r="D28" s="8">
        <f>COUNTIFS(第一轮录入!$C$2:$C$505,A28,第一轮录入!$E$2:$E$505,"&gt;=1")</f>
        <v>12</v>
      </c>
      <c r="E28" s="8">
        <f>COUNTIFS(第一轮录入!$C$2:$C$505,A28,第一轮录入!$E$2:$E$505,"&gt;=3")</f>
        <v>12</v>
      </c>
      <c r="F28" s="9">
        <f t="shared" si="0"/>
        <v>1</v>
      </c>
      <c r="G28" s="9">
        <f t="shared" si="1"/>
        <v>0.000244140625</v>
      </c>
      <c r="H28" s="9">
        <f t="shared" si="2"/>
        <v>1</v>
      </c>
      <c r="I28" s="4" t="s">
        <v>287</v>
      </c>
      <c r="J28" s="4" t="s">
        <v>287</v>
      </c>
      <c r="K28" s="3" t="str">
        <f t="shared" si="3"/>
        <v>保留/检查IQR</v>
      </c>
      <c r="L28" s="4" t="s">
        <v>288</v>
      </c>
    </row>
    <row r="29" ht="28.8" spans="1:12">
      <c r="A29" s="3" t="s">
        <v>150</v>
      </c>
      <c r="B29" s="3" t="s">
        <v>126</v>
      </c>
      <c r="C29" s="3" t="s">
        <v>151</v>
      </c>
      <c r="D29" s="8">
        <f>COUNTIFS(第一轮录入!$C$2:$C$505,A29,第一轮录入!$E$2:$E$505,"&gt;=1")</f>
        <v>12</v>
      </c>
      <c r="E29" s="8">
        <f>COUNTIFS(第一轮录入!$C$2:$C$505,A29,第一轮录入!$E$2:$E$505,"&gt;=3")</f>
        <v>12</v>
      </c>
      <c r="F29" s="9">
        <f t="shared" si="0"/>
        <v>1</v>
      </c>
      <c r="G29" s="9">
        <f t="shared" si="1"/>
        <v>0.000244140625</v>
      </c>
      <c r="H29" s="9">
        <f t="shared" si="2"/>
        <v>1</v>
      </c>
      <c r="I29" s="4" t="s">
        <v>287</v>
      </c>
      <c r="J29" s="4" t="s">
        <v>287</v>
      </c>
      <c r="K29" s="3" t="str">
        <f t="shared" si="3"/>
        <v>保留/检查IQR</v>
      </c>
      <c r="L29" s="4" t="s">
        <v>288</v>
      </c>
    </row>
    <row r="30" ht="28.8" spans="1:12">
      <c r="A30" s="3" t="s">
        <v>153</v>
      </c>
      <c r="B30" s="3" t="s">
        <v>126</v>
      </c>
      <c r="C30" s="3" t="s">
        <v>154</v>
      </c>
      <c r="D30" s="8">
        <f>COUNTIFS(第一轮录入!$C$2:$C$505,A30,第一轮录入!$E$2:$E$505,"&gt;=1")</f>
        <v>12</v>
      </c>
      <c r="E30" s="8">
        <f>COUNTIFS(第一轮录入!$C$2:$C$505,A30,第一轮录入!$E$2:$E$505,"&gt;=3")</f>
        <v>12</v>
      </c>
      <c r="F30" s="9">
        <f t="shared" si="0"/>
        <v>1</v>
      </c>
      <c r="G30" s="9">
        <f t="shared" si="1"/>
        <v>0.000244140625</v>
      </c>
      <c r="H30" s="9">
        <f t="shared" si="2"/>
        <v>1</v>
      </c>
      <c r="I30" s="4" t="s">
        <v>287</v>
      </c>
      <c r="J30" s="4" t="s">
        <v>287</v>
      </c>
      <c r="K30" s="3" t="str">
        <f t="shared" si="3"/>
        <v>保留/检查IQR</v>
      </c>
      <c r="L30" s="4" t="s">
        <v>288</v>
      </c>
    </row>
    <row r="31" ht="28.8" spans="1:12">
      <c r="A31" s="3" t="s">
        <v>156</v>
      </c>
      <c r="B31" s="3" t="s">
        <v>157</v>
      </c>
      <c r="C31" s="3" t="s">
        <v>159</v>
      </c>
      <c r="D31" s="8">
        <f>COUNTIFS(第一轮录入!$C$2:$C$505,A31,第一轮录入!$E$2:$E$505,"&gt;=1")</f>
        <v>12</v>
      </c>
      <c r="E31" s="8">
        <f>COUNTIFS(第一轮录入!$C$2:$C$505,A31,第一轮录入!$E$2:$E$505,"&gt;=3")</f>
        <v>12</v>
      </c>
      <c r="F31" s="9">
        <f t="shared" si="0"/>
        <v>1</v>
      </c>
      <c r="G31" s="9">
        <f t="shared" si="1"/>
        <v>0.000244140625</v>
      </c>
      <c r="H31" s="9">
        <f t="shared" si="2"/>
        <v>1</v>
      </c>
      <c r="I31" s="4" t="s">
        <v>287</v>
      </c>
      <c r="J31" s="4" t="s">
        <v>287</v>
      </c>
      <c r="K31" s="3" t="str">
        <f t="shared" si="3"/>
        <v>保留/检查IQR</v>
      </c>
      <c r="L31" s="3"/>
    </row>
    <row r="32" ht="28.8" spans="1:12">
      <c r="A32" s="3" t="s">
        <v>162</v>
      </c>
      <c r="B32" s="3" t="s">
        <v>157</v>
      </c>
      <c r="C32" s="3" t="s">
        <v>163</v>
      </c>
      <c r="D32" s="8">
        <f>COUNTIFS(第一轮录入!$C$2:$C$505,A32,第一轮录入!$E$2:$E$505,"&gt;=1")</f>
        <v>12</v>
      </c>
      <c r="E32" s="8">
        <f>COUNTIFS(第一轮录入!$C$2:$C$505,A32,第一轮录入!$E$2:$E$505,"&gt;=3")</f>
        <v>12</v>
      </c>
      <c r="F32" s="9">
        <f t="shared" si="0"/>
        <v>1</v>
      </c>
      <c r="G32" s="9">
        <f t="shared" si="1"/>
        <v>0.000244140625</v>
      </c>
      <c r="H32" s="9">
        <f t="shared" si="2"/>
        <v>1</v>
      </c>
      <c r="I32" s="4" t="s">
        <v>287</v>
      </c>
      <c r="J32" s="4" t="s">
        <v>287</v>
      </c>
      <c r="K32" s="3" t="str">
        <f t="shared" si="3"/>
        <v>保留/检查IQR</v>
      </c>
      <c r="L32" s="4" t="s">
        <v>288</v>
      </c>
    </row>
    <row r="33" ht="28.8" spans="1:12">
      <c r="A33" s="3" t="s">
        <v>165</v>
      </c>
      <c r="B33" s="3" t="s">
        <v>157</v>
      </c>
      <c r="C33" s="3" t="s">
        <v>166</v>
      </c>
      <c r="D33" s="8">
        <f>COUNTIFS(第一轮录入!$C$2:$C$505,A33,第一轮录入!$E$2:$E$505,"&gt;=1")</f>
        <v>12</v>
      </c>
      <c r="E33" s="8">
        <f>COUNTIFS(第一轮录入!$C$2:$C$505,A33,第一轮录入!$E$2:$E$505,"&gt;=3")</f>
        <v>12</v>
      </c>
      <c r="F33" s="9">
        <f t="shared" si="0"/>
        <v>1</v>
      </c>
      <c r="G33" s="9">
        <f t="shared" si="1"/>
        <v>0.000244140625</v>
      </c>
      <c r="H33" s="9">
        <f t="shared" si="2"/>
        <v>1</v>
      </c>
      <c r="I33" s="4" t="s">
        <v>287</v>
      </c>
      <c r="J33" s="4" t="s">
        <v>287</v>
      </c>
      <c r="K33" s="3" t="str">
        <f t="shared" si="3"/>
        <v>保留/检查IQR</v>
      </c>
      <c r="L33" s="4" t="s">
        <v>288</v>
      </c>
    </row>
    <row r="34" ht="28.8" spans="1:12">
      <c r="A34" s="3" t="s">
        <v>168</v>
      </c>
      <c r="B34" s="3" t="s">
        <v>157</v>
      </c>
      <c r="C34" s="3" t="s">
        <v>169</v>
      </c>
      <c r="D34" s="8">
        <f>COUNTIFS(第一轮录入!$C$2:$C$505,A34,第一轮录入!$E$2:$E$505,"&gt;=1")</f>
        <v>12</v>
      </c>
      <c r="E34" s="8">
        <f>COUNTIFS(第一轮录入!$C$2:$C$505,A34,第一轮录入!$E$2:$E$505,"&gt;=3")</f>
        <v>12</v>
      </c>
      <c r="F34" s="9">
        <f t="shared" si="0"/>
        <v>1</v>
      </c>
      <c r="G34" s="9">
        <f t="shared" si="1"/>
        <v>0.000244140625</v>
      </c>
      <c r="H34" s="9">
        <f t="shared" si="2"/>
        <v>1</v>
      </c>
      <c r="I34" s="4" t="s">
        <v>287</v>
      </c>
      <c r="J34" s="4" t="s">
        <v>287</v>
      </c>
      <c r="K34" s="3" t="str">
        <f t="shared" si="3"/>
        <v>保留/检查IQR</v>
      </c>
      <c r="L34" s="4" t="s">
        <v>288</v>
      </c>
    </row>
    <row r="35" ht="28.8" spans="1:12">
      <c r="A35" s="3" t="s">
        <v>25</v>
      </c>
      <c r="B35" s="3" t="s">
        <v>171</v>
      </c>
      <c r="C35" s="3" t="s">
        <v>173</v>
      </c>
      <c r="D35" s="8">
        <f>COUNTIFS(第一轮录入!$C$2:$C$505,A35,第一轮录入!$E$2:$E$505,"&gt;=1")</f>
        <v>12</v>
      </c>
      <c r="E35" s="8">
        <f>COUNTIFS(第一轮录入!$C$2:$C$505,A35,第一轮录入!$E$2:$E$505,"&gt;=3")</f>
        <v>12</v>
      </c>
      <c r="F35" s="9">
        <f t="shared" si="0"/>
        <v>1</v>
      </c>
      <c r="G35" s="9">
        <f t="shared" si="1"/>
        <v>0.000244140625</v>
      </c>
      <c r="H35" s="9">
        <f t="shared" si="2"/>
        <v>1</v>
      </c>
      <c r="I35" s="4" t="s">
        <v>287</v>
      </c>
      <c r="J35" s="4" t="s">
        <v>287</v>
      </c>
      <c r="K35" s="3" t="str">
        <f t="shared" si="3"/>
        <v>保留/检查IQR</v>
      </c>
      <c r="L35" s="4" t="s">
        <v>288</v>
      </c>
    </row>
    <row r="36" ht="28.8" spans="1:12">
      <c r="A36" s="3" t="s">
        <v>31</v>
      </c>
      <c r="B36" s="3" t="s">
        <v>171</v>
      </c>
      <c r="C36" s="3" t="s">
        <v>176</v>
      </c>
      <c r="D36" s="8">
        <f>COUNTIFS(第一轮录入!$C$2:$C$505,A36,第一轮录入!$E$2:$E$505,"&gt;=1")</f>
        <v>12</v>
      </c>
      <c r="E36" s="8">
        <f>COUNTIFS(第一轮录入!$C$2:$C$505,A36,第一轮录入!$E$2:$E$505,"&gt;=3")</f>
        <v>12</v>
      </c>
      <c r="F36" s="9">
        <f t="shared" si="0"/>
        <v>1</v>
      </c>
      <c r="G36" s="9">
        <f t="shared" si="1"/>
        <v>0.000244140625</v>
      </c>
      <c r="H36" s="9">
        <f t="shared" si="2"/>
        <v>1</v>
      </c>
      <c r="I36" s="4" t="s">
        <v>287</v>
      </c>
      <c r="J36" s="4" t="s">
        <v>287</v>
      </c>
      <c r="K36" s="3" t="str">
        <f t="shared" si="3"/>
        <v>保留/检查IQR</v>
      </c>
      <c r="L36" s="4" t="s">
        <v>288</v>
      </c>
    </row>
    <row r="37" ht="28.8" spans="1:12">
      <c r="A37" s="3" t="s">
        <v>32</v>
      </c>
      <c r="B37" s="3" t="s">
        <v>171</v>
      </c>
      <c r="C37" s="3" t="s">
        <v>178</v>
      </c>
      <c r="D37" s="8">
        <f>COUNTIFS(第一轮录入!$C$2:$C$505,A37,第一轮录入!$E$2:$E$505,"&gt;=1")</f>
        <v>12</v>
      </c>
      <c r="E37" s="8">
        <f>COUNTIFS(第一轮录入!$C$2:$C$505,A37,第一轮录入!$E$2:$E$505,"&gt;=3")</f>
        <v>12</v>
      </c>
      <c r="F37" s="9">
        <f t="shared" si="0"/>
        <v>1</v>
      </c>
      <c r="G37" s="9">
        <f t="shared" si="1"/>
        <v>0.000244140625</v>
      </c>
      <c r="H37" s="9">
        <f t="shared" si="2"/>
        <v>1</v>
      </c>
      <c r="I37" s="4" t="s">
        <v>287</v>
      </c>
      <c r="J37" s="4" t="s">
        <v>287</v>
      </c>
      <c r="K37" s="3" t="str">
        <f t="shared" si="3"/>
        <v>保留/检查IQR</v>
      </c>
      <c r="L37" s="4" t="s">
        <v>288</v>
      </c>
    </row>
    <row r="38" ht="28.8" spans="1:12">
      <c r="A38" s="3" t="s">
        <v>33</v>
      </c>
      <c r="B38" s="3" t="s">
        <v>171</v>
      </c>
      <c r="C38" s="3" t="s">
        <v>180</v>
      </c>
      <c r="D38" s="8">
        <f>COUNTIFS(第一轮录入!$C$2:$C$505,A38,第一轮录入!$E$2:$E$505,"&gt;=1")</f>
        <v>12</v>
      </c>
      <c r="E38" s="8">
        <f>COUNTIFS(第一轮录入!$C$2:$C$505,A38,第一轮录入!$E$2:$E$505,"&gt;=3")</f>
        <v>12</v>
      </c>
      <c r="F38" s="9">
        <f t="shared" si="0"/>
        <v>1</v>
      </c>
      <c r="G38" s="9">
        <f t="shared" si="1"/>
        <v>0.000244140625</v>
      </c>
      <c r="H38" s="9">
        <f t="shared" si="2"/>
        <v>1</v>
      </c>
      <c r="I38" s="4" t="s">
        <v>287</v>
      </c>
      <c r="J38" s="4" t="s">
        <v>287</v>
      </c>
      <c r="K38" s="3" t="str">
        <f t="shared" si="3"/>
        <v>保留/检查IQR</v>
      </c>
      <c r="L38" s="4" t="s">
        <v>288</v>
      </c>
    </row>
    <row r="39" ht="28.8" spans="1:12">
      <c r="A39" s="3" t="s">
        <v>34</v>
      </c>
      <c r="B39" s="3" t="s">
        <v>171</v>
      </c>
      <c r="C39" s="3" t="s">
        <v>182</v>
      </c>
      <c r="D39" s="8">
        <f>COUNTIFS(第一轮录入!$C$2:$C$505,A39,第一轮录入!$E$2:$E$505,"&gt;=1")</f>
        <v>12</v>
      </c>
      <c r="E39" s="8">
        <f>COUNTIFS(第一轮录入!$C$2:$C$505,A39,第一轮录入!$E$2:$E$505,"&gt;=3")</f>
        <v>12</v>
      </c>
      <c r="F39" s="9">
        <f t="shared" si="0"/>
        <v>1</v>
      </c>
      <c r="G39" s="9">
        <f t="shared" si="1"/>
        <v>0.000244140625</v>
      </c>
      <c r="H39" s="9">
        <f t="shared" si="2"/>
        <v>1</v>
      </c>
      <c r="I39" s="4" t="s">
        <v>287</v>
      </c>
      <c r="J39" s="4" t="s">
        <v>287</v>
      </c>
      <c r="K39" s="3" t="str">
        <f t="shared" si="3"/>
        <v>保留/检查IQR</v>
      </c>
      <c r="L39" s="4" t="s">
        <v>288</v>
      </c>
    </row>
    <row r="40" ht="28.8" spans="1:12">
      <c r="A40" s="3" t="s">
        <v>35</v>
      </c>
      <c r="B40" s="3" t="s">
        <v>171</v>
      </c>
      <c r="C40" s="3" t="s">
        <v>184</v>
      </c>
      <c r="D40" s="8">
        <f>COUNTIFS(第一轮录入!$C$2:$C$505,A40,第一轮录入!$E$2:$E$505,"&gt;=1")</f>
        <v>12</v>
      </c>
      <c r="E40" s="8">
        <f>COUNTIFS(第一轮录入!$C$2:$C$505,A40,第一轮录入!$E$2:$E$505,"&gt;=3")</f>
        <v>12</v>
      </c>
      <c r="F40" s="9">
        <f t="shared" si="0"/>
        <v>1</v>
      </c>
      <c r="G40" s="9">
        <f t="shared" si="1"/>
        <v>0.000244140625</v>
      </c>
      <c r="H40" s="9">
        <f t="shared" si="2"/>
        <v>1</v>
      </c>
      <c r="I40" s="4" t="s">
        <v>287</v>
      </c>
      <c r="J40" s="4" t="s">
        <v>287</v>
      </c>
      <c r="K40" s="3" t="str">
        <f t="shared" si="3"/>
        <v>保留/检查IQR</v>
      </c>
      <c r="L40" s="4" t="s">
        <v>288</v>
      </c>
    </row>
    <row r="41" ht="28.8" spans="1:12">
      <c r="A41" s="3" t="s">
        <v>186</v>
      </c>
      <c r="B41" s="3" t="s">
        <v>171</v>
      </c>
      <c r="C41" s="3" t="s">
        <v>187</v>
      </c>
      <c r="D41" s="8">
        <f>COUNTIFS(第一轮录入!$C$2:$C$505,A41,第一轮录入!$E$2:$E$505,"&gt;=1")</f>
        <v>12</v>
      </c>
      <c r="E41" s="8">
        <f>COUNTIFS(第一轮录入!$C$2:$C$505,A41,第一轮录入!$E$2:$E$505,"&gt;=3")</f>
        <v>12</v>
      </c>
      <c r="F41" s="9">
        <f t="shared" si="0"/>
        <v>1</v>
      </c>
      <c r="G41" s="9">
        <f t="shared" si="1"/>
        <v>0.000244140625</v>
      </c>
      <c r="H41" s="9">
        <f t="shared" si="2"/>
        <v>1</v>
      </c>
      <c r="I41" s="4" t="s">
        <v>287</v>
      </c>
      <c r="J41" s="4" t="s">
        <v>287</v>
      </c>
      <c r="K41" s="3" t="str">
        <f t="shared" si="3"/>
        <v>保留/检查IQR</v>
      </c>
      <c r="L41" s="4" t="s">
        <v>288</v>
      </c>
    </row>
    <row r="42" ht="28.8" spans="1:12">
      <c r="A42" s="3" t="s">
        <v>189</v>
      </c>
      <c r="B42" s="3" t="s">
        <v>171</v>
      </c>
      <c r="C42" s="3" t="s">
        <v>190</v>
      </c>
      <c r="D42" s="8">
        <f>COUNTIFS(第一轮录入!$C$2:$C$505,A42,第一轮录入!$E$2:$E$505,"&gt;=1")</f>
        <v>12</v>
      </c>
      <c r="E42" s="8">
        <f>COUNTIFS(第一轮录入!$C$2:$C$505,A42,第一轮录入!$E$2:$E$505,"&gt;=3")</f>
        <v>12</v>
      </c>
      <c r="F42" s="9">
        <f t="shared" si="0"/>
        <v>1</v>
      </c>
      <c r="G42" s="9">
        <f t="shared" si="1"/>
        <v>0.000244140625</v>
      </c>
      <c r="H42" s="9">
        <f t="shared" si="2"/>
        <v>1</v>
      </c>
      <c r="I42" s="4" t="s">
        <v>287</v>
      </c>
      <c r="J42" s="4" t="s">
        <v>287</v>
      </c>
      <c r="K42" s="3" t="str">
        <f t="shared" si="3"/>
        <v>保留/检查IQR</v>
      </c>
      <c r="L42" s="4" t="s">
        <v>288</v>
      </c>
    </row>
    <row r="43" ht="28.8" spans="1:12">
      <c r="A43" s="3" t="s">
        <v>192</v>
      </c>
      <c r="B43" s="3" t="s">
        <v>171</v>
      </c>
      <c r="C43" s="3" t="s">
        <v>193</v>
      </c>
      <c r="D43" s="8">
        <f>COUNTIFS(第一轮录入!$C$2:$C$505,A43,第一轮录入!$E$2:$E$505,"&gt;=1")</f>
        <v>12</v>
      </c>
      <c r="E43" s="8">
        <f>COUNTIFS(第一轮录入!$C$2:$C$505,A43,第一轮录入!$E$2:$E$505,"&gt;=3")</f>
        <v>12</v>
      </c>
      <c r="F43" s="9">
        <f t="shared" si="0"/>
        <v>1</v>
      </c>
      <c r="G43" s="9">
        <f t="shared" si="1"/>
        <v>0.000244140625</v>
      </c>
      <c r="H43" s="9">
        <f t="shared" si="2"/>
        <v>1</v>
      </c>
      <c r="I43" s="4" t="s">
        <v>287</v>
      </c>
      <c r="J43" s="4" t="s">
        <v>287</v>
      </c>
      <c r="K43" s="3" t="str">
        <f t="shared" si="3"/>
        <v>保留/检查IQR</v>
      </c>
      <c r="L43" s="4" t="s">
        <v>288</v>
      </c>
    </row>
    <row r="45" spans="1:12">
      <c r="A45" s="2" t="s">
        <v>289</v>
      </c>
      <c r="B45" s="9">
        <f>AVERAGE(F2:F43)</f>
        <v>0.994047619047619</v>
      </c>
    </row>
  </sheetData>
  <autoFilter xmlns:etc="http://www.wps.cn/officeDocument/2017/etCustomData" ref="A1:L43" etc:filterBottomFollowUsedRange="0">
    <extLst/>
  </autoFilter>
  <conditionalFormatting sqref="F2:F43">
    <cfRule type="cellIs" dxfId="1" priority="1" operator="greaterThanOrEqual">
      <formula>0.833333333333333</formula>
    </cfRule>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6"/>
  <sheetViews>
    <sheetView workbookViewId="0">
      <pane xSplit="2" ySplit="1" topLeftCell="C2" activePane="bottomRight" state="frozen"/>
      <selection/>
      <selection pane="topRight"/>
      <selection pane="bottomLeft"/>
      <selection pane="bottomRight" activeCell="A1" sqref="A1"/>
    </sheetView>
  </sheetViews>
  <sheetFormatPr defaultColWidth="9" defaultRowHeight="14.4"/>
  <cols>
    <col min="1" max="2" width="12.712962962963" customWidth="1"/>
    <col min="3" max="6" width="35.712962962963" customWidth="1"/>
    <col min="7" max="7" width="18.712962962963" customWidth="1"/>
    <col min="8" max="9" width="35.712962962963" customWidth="1"/>
    <col min="10" max="11" width="14.712962962963" customWidth="1"/>
  </cols>
  <sheetData>
    <row r="1" spans="1:11">
      <c r="A1" s="5" t="s">
        <v>43</v>
      </c>
      <c r="B1" s="5" t="s">
        <v>290</v>
      </c>
      <c r="C1" s="5" t="s">
        <v>291</v>
      </c>
      <c r="D1" s="5" t="s">
        <v>292</v>
      </c>
      <c r="E1" s="5" t="s">
        <v>293</v>
      </c>
      <c r="F1" s="5" t="s">
        <v>294</v>
      </c>
      <c r="G1" s="5" t="s">
        <v>295</v>
      </c>
      <c r="H1" s="5" t="s">
        <v>296</v>
      </c>
      <c r="I1" s="5" t="s">
        <v>297</v>
      </c>
      <c r="J1" s="5" t="s">
        <v>298</v>
      </c>
      <c r="K1" s="5" t="s">
        <v>299</v>
      </c>
    </row>
    <row r="2" ht="43.2" spans="1:11">
      <c r="A2" s="6" t="s">
        <v>54</v>
      </c>
      <c r="B2" s="6" t="s">
        <v>300</v>
      </c>
      <c r="C2" s="6" t="s">
        <v>301</v>
      </c>
      <c r="D2" s="6" t="s">
        <v>302</v>
      </c>
      <c r="E2" s="6" t="s">
        <v>303</v>
      </c>
      <c r="F2" s="6" t="s">
        <v>304</v>
      </c>
      <c r="G2" s="6" t="s">
        <v>305</v>
      </c>
      <c r="H2" s="6" t="s">
        <v>306</v>
      </c>
      <c r="I2" s="6" t="s">
        <v>307</v>
      </c>
      <c r="J2" s="6" t="s">
        <v>308</v>
      </c>
      <c r="K2" s="6" t="s">
        <v>28</v>
      </c>
    </row>
    <row r="3" ht="43.2" spans="1:11">
      <c r="A3" s="6" t="s">
        <v>64</v>
      </c>
      <c r="B3" s="6" t="s">
        <v>300</v>
      </c>
      <c r="C3" s="6" t="s">
        <v>309</v>
      </c>
      <c r="D3" s="6" t="s">
        <v>310</v>
      </c>
      <c r="E3" s="6" t="s">
        <v>311</v>
      </c>
      <c r="F3" s="6" t="s">
        <v>312</v>
      </c>
      <c r="G3" s="6" t="s">
        <v>313</v>
      </c>
      <c r="H3" s="6" t="s">
        <v>308</v>
      </c>
      <c r="I3" s="6" t="s">
        <v>314</v>
      </c>
      <c r="J3" s="6" t="s">
        <v>308</v>
      </c>
      <c r="K3" s="6" t="s">
        <v>28</v>
      </c>
    </row>
    <row r="4" ht="43.2" spans="1:11">
      <c r="A4" s="6" t="s">
        <v>67</v>
      </c>
      <c r="B4" s="6" t="s">
        <v>300</v>
      </c>
      <c r="C4" s="6" t="s">
        <v>315</v>
      </c>
      <c r="D4" s="6" t="s">
        <v>316</v>
      </c>
      <c r="E4" s="6" t="s">
        <v>317</v>
      </c>
      <c r="F4" s="6" t="s">
        <v>318</v>
      </c>
      <c r="G4" s="6" t="s">
        <v>305</v>
      </c>
      <c r="H4" s="6" t="s">
        <v>319</v>
      </c>
      <c r="I4" s="6" t="s">
        <v>307</v>
      </c>
      <c r="J4" s="6" t="s">
        <v>308</v>
      </c>
      <c r="K4" s="6" t="s">
        <v>28</v>
      </c>
    </row>
    <row r="5" ht="43.2" spans="1:11">
      <c r="A5" s="6" t="s">
        <v>70</v>
      </c>
      <c r="B5" s="6" t="s">
        <v>300</v>
      </c>
      <c r="C5" s="6" t="s">
        <v>320</v>
      </c>
      <c r="D5" s="6" t="s">
        <v>321</v>
      </c>
      <c r="E5" s="6" t="s">
        <v>317</v>
      </c>
      <c r="F5" s="6" t="s">
        <v>322</v>
      </c>
      <c r="G5" s="6" t="s">
        <v>313</v>
      </c>
      <c r="H5" s="6" t="s">
        <v>308</v>
      </c>
      <c r="I5" s="6" t="s">
        <v>314</v>
      </c>
      <c r="J5" s="6" t="s">
        <v>308</v>
      </c>
      <c r="K5" s="6" t="s">
        <v>28</v>
      </c>
    </row>
    <row r="6" ht="43.2" spans="1:11">
      <c r="A6" s="6" t="s">
        <v>74</v>
      </c>
      <c r="B6" s="6" t="s">
        <v>300</v>
      </c>
      <c r="C6" s="6" t="s">
        <v>323</v>
      </c>
      <c r="D6" s="6" t="s">
        <v>324</v>
      </c>
      <c r="E6" s="6" t="s">
        <v>303</v>
      </c>
      <c r="F6" s="6" t="s">
        <v>325</v>
      </c>
      <c r="G6" s="6" t="s">
        <v>313</v>
      </c>
      <c r="H6" s="6" t="s">
        <v>308</v>
      </c>
      <c r="I6" s="6" t="s">
        <v>314</v>
      </c>
      <c r="J6" s="6" t="s">
        <v>308</v>
      </c>
      <c r="K6" s="6" t="s">
        <v>28</v>
      </c>
    </row>
    <row r="7" ht="43.2" spans="1:11">
      <c r="A7" s="6" t="s">
        <v>77</v>
      </c>
      <c r="B7" s="6" t="s">
        <v>300</v>
      </c>
      <c r="C7" s="6" t="s">
        <v>326</v>
      </c>
      <c r="D7" s="6" t="s">
        <v>324</v>
      </c>
      <c r="E7" s="6" t="s">
        <v>303</v>
      </c>
      <c r="F7" s="6" t="s">
        <v>327</v>
      </c>
      <c r="G7" s="6" t="s">
        <v>305</v>
      </c>
      <c r="H7" s="6" t="s">
        <v>328</v>
      </c>
      <c r="I7" s="6" t="s">
        <v>307</v>
      </c>
      <c r="J7" s="6" t="s">
        <v>308</v>
      </c>
      <c r="K7" s="6" t="s">
        <v>28</v>
      </c>
    </row>
    <row r="8" ht="43.2" spans="1:11">
      <c r="A8" s="6" t="s">
        <v>80</v>
      </c>
      <c r="B8" s="6" t="s">
        <v>300</v>
      </c>
      <c r="C8" s="6" t="s">
        <v>329</v>
      </c>
      <c r="D8" s="6" t="s">
        <v>330</v>
      </c>
      <c r="E8" s="6" t="s">
        <v>303</v>
      </c>
      <c r="F8" s="6" t="s">
        <v>331</v>
      </c>
      <c r="G8" s="6" t="s">
        <v>313</v>
      </c>
      <c r="H8" s="6" t="s">
        <v>308</v>
      </c>
      <c r="I8" s="6" t="s">
        <v>314</v>
      </c>
      <c r="J8" s="6" t="s">
        <v>308</v>
      </c>
      <c r="K8" s="6" t="s">
        <v>28</v>
      </c>
    </row>
    <row r="9" ht="72" spans="1:11">
      <c r="A9" s="6" t="s">
        <v>83</v>
      </c>
      <c r="B9" s="6" t="s">
        <v>300</v>
      </c>
      <c r="C9" s="6" t="s">
        <v>332</v>
      </c>
      <c r="D9" s="6" t="s">
        <v>333</v>
      </c>
      <c r="E9" s="6" t="s">
        <v>317</v>
      </c>
      <c r="F9" s="6" t="s">
        <v>334</v>
      </c>
      <c r="G9" s="6" t="s">
        <v>305</v>
      </c>
      <c r="H9" s="6" t="s">
        <v>335</v>
      </c>
      <c r="I9" s="6" t="s">
        <v>307</v>
      </c>
      <c r="J9" s="6" t="s">
        <v>308</v>
      </c>
      <c r="K9" s="6" t="s">
        <v>28</v>
      </c>
    </row>
    <row r="10" ht="43.2" spans="1:11">
      <c r="A10" s="6" t="s">
        <v>87</v>
      </c>
      <c r="B10" s="6" t="s">
        <v>300</v>
      </c>
      <c r="C10" s="6" t="s">
        <v>336</v>
      </c>
      <c r="D10" s="6" t="s">
        <v>324</v>
      </c>
      <c r="E10" s="6" t="s">
        <v>303</v>
      </c>
      <c r="F10" s="6" t="s">
        <v>337</v>
      </c>
      <c r="G10" s="6" t="s">
        <v>313</v>
      </c>
      <c r="H10" s="6" t="s">
        <v>308</v>
      </c>
      <c r="I10" s="6" t="s">
        <v>314</v>
      </c>
      <c r="J10" s="6" t="s">
        <v>308</v>
      </c>
      <c r="K10" s="6" t="s">
        <v>28</v>
      </c>
    </row>
    <row r="11" ht="43.2" spans="1:11">
      <c r="A11" s="6" t="s">
        <v>91</v>
      </c>
      <c r="B11" s="6" t="s">
        <v>300</v>
      </c>
      <c r="C11" s="6" t="s">
        <v>338</v>
      </c>
      <c r="D11" s="6" t="s">
        <v>324</v>
      </c>
      <c r="E11" s="6" t="s">
        <v>303</v>
      </c>
      <c r="F11" s="6" t="s">
        <v>339</v>
      </c>
      <c r="G11" s="6" t="s">
        <v>313</v>
      </c>
      <c r="H11" s="6" t="s">
        <v>308</v>
      </c>
      <c r="I11" s="6" t="s">
        <v>314</v>
      </c>
      <c r="J11" s="6" t="s">
        <v>308</v>
      </c>
      <c r="K11" s="6" t="s">
        <v>28</v>
      </c>
    </row>
    <row r="12" ht="43.2" spans="1:11">
      <c r="A12" s="6" t="s">
        <v>94</v>
      </c>
      <c r="B12" s="6" t="s">
        <v>300</v>
      </c>
      <c r="C12" s="6" t="s">
        <v>340</v>
      </c>
      <c r="D12" s="6" t="s">
        <v>324</v>
      </c>
      <c r="E12" s="6" t="s">
        <v>303</v>
      </c>
      <c r="F12" s="6" t="s">
        <v>341</v>
      </c>
      <c r="G12" s="6" t="s">
        <v>305</v>
      </c>
      <c r="H12" s="6" t="s">
        <v>342</v>
      </c>
      <c r="I12" s="6" t="s">
        <v>307</v>
      </c>
      <c r="J12" s="6" t="s">
        <v>308</v>
      </c>
      <c r="K12" s="6" t="s">
        <v>28</v>
      </c>
    </row>
    <row r="13" ht="57.6" spans="1:11">
      <c r="A13" s="6" t="s">
        <v>97</v>
      </c>
      <c r="B13" s="6" t="s">
        <v>300</v>
      </c>
      <c r="C13" s="6" t="s">
        <v>343</v>
      </c>
      <c r="D13" s="6" t="s">
        <v>344</v>
      </c>
      <c r="E13" s="6" t="s">
        <v>345</v>
      </c>
      <c r="F13" s="6" t="s">
        <v>346</v>
      </c>
      <c r="G13" s="6" t="s">
        <v>305</v>
      </c>
      <c r="H13" s="6" t="s">
        <v>347</v>
      </c>
      <c r="I13" s="6" t="s">
        <v>307</v>
      </c>
      <c r="J13" s="6" t="s">
        <v>308</v>
      </c>
      <c r="K13" s="6" t="s">
        <v>28</v>
      </c>
    </row>
    <row r="14" ht="43.2" spans="1:11">
      <c r="A14" s="6" t="s">
        <v>100</v>
      </c>
      <c r="B14" s="6" t="s">
        <v>300</v>
      </c>
      <c r="C14" s="6" t="s">
        <v>348</v>
      </c>
      <c r="D14" s="6" t="s">
        <v>349</v>
      </c>
      <c r="E14" s="6" t="s">
        <v>303</v>
      </c>
      <c r="F14" s="6" t="s">
        <v>350</v>
      </c>
      <c r="G14" s="6" t="s">
        <v>305</v>
      </c>
      <c r="H14" s="6" t="s">
        <v>351</v>
      </c>
      <c r="I14" s="6" t="s">
        <v>307</v>
      </c>
      <c r="J14" s="6" t="s">
        <v>308</v>
      </c>
      <c r="K14" s="6" t="s">
        <v>28</v>
      </c>
    </row>
    <row r="15" ht="43.2" spans="1:11">
      <c r="A15" s="6" t="s">
        <v>103</v>
      </c>
      <c r="B15" s="6" t="s">
        <v>300</v>
      </c>
      <c r="C15" s="6" t="s">
        <v>352</v>
      </c>
      <c r="D15" s="6" t="s">
        <v>353</v>
      </c>
      <c r="E15" s="6" t="s">
        <v>345</v>
      </c>
      <c r="F15" s="6" t="s">
        <v>354</v>
      </c>
      <c r="G15" s="6" t="s">
        <v>313</v>
      </c>
      <c r="H15" s="6" t="s">
        <v>308</v>
      </c>
      <c r="I15" s="6" t="s">
        <v>314</v>
      </c>
      <c r="J15" s="6" t="s">
        <v>308</v>
      </c>
      <c r="K15" s="6" t="s">
        <v>28</v>
      </c>
    </row>
    <row r="16" ht="43.2" spans="1:11">
      <c r="A16" s="6" t="s">
        <v>106</v>
      </c>
      <c r="B16" s="6" t="s">
        <v>300</v>
      </c>
      <c r="C16" s="6" t="s">
        <v>355</v>
      </c>
      <c r="D16" s="6" t="s">
        <v>356</v>
      </c>
      <c r="E16" s="6" t="s">
        <v>303</v>
      </c>
      <c r="F16" s="6" t="s">
        <v>357</v>
      </c>
      <c r="G16" s="6" t="s">
        <v>305</v>
      </c>
      <c r="H16" s="6" t="s">
        <v>358</v>
      </c>
      <c r="I16" s="6" t="s">
        <v>307</v>
      </c>
      <c r="J16" s="6" t="s">
        <v>308</v>
      </c>
      <c r="K16" s="6" t="s">
        <v>28</v>
      </c>
    </row>
    <row r="17" ht="43.2" spans="1:11">
      <c r="A17" s="6" t="s">
        <v>109</v>
      </c>
      <c r="B17" s="6" t="s">
        <v>300</v>
      </c>
      <c r="C17" s="6" t="s">
        <v>359</v>
      </c>
      <c r="D17" s="6" t="s">
        <v>360</v>
      </c>
      <c r="E17" s="6" t="s">
        <v>311</v>
      </c>
      <c r="F17" s="6" t="s">
        <v>361</v>
      </c>
      <c r="G17" s="6" t="s">
        <v>313</v>
      </c>
      <c r="H17" s="6" t="s">
        <v>308</v>
      </c>
      <c r="I17" s="6" t="s">
        <v>314</v>
      </c>
      <c r="J17" s="6" t="s">
        <v>308</v>
      </c>
      <c r="K17" s="6" t="s">
        <v>28</v>
      </c>
    </row>
    <row r="18" ht="100.8" spans="1:11">
      <c r="A18" s="6" t="s">
        <v>113</v>
      </c>
      <c r="B18" s="6" t="s">
        <v>300</v>
      </c>
      <c r="C18" s="6" t="s">
        <v>362</v>
      </c>
      <c r="D18" s="6" t="s">
        <v>363</v>
      </c>
      <c r="E18" s="6" t="s">
        <v>364</v>
      </c>
      <c r="F18" s="6" t="s">
        <v>365</v>
      </c>
      <c r="G18" s="6" t="s">
        <v>305</v>
      </c>
      <c r="H18" s="6" t="s">
        <v>366</v>
      </c>
      <c r="I18" s="6" t="s">
        <v>307</v>
      </c>
      <c r="J18" s="6" t="s">
        <v>308</v>
      </c>
      <c r="K18" s="6" t="s">
        <v>28</v>
      </c>
    </row>
    <row r="19" ht="43.2" spans="1:11">
      <c r="A19" s="6" t="s">
        <v>116</v>
      </c>
      <c r="B19" s="6" t="s">
        <v>300</v>
      </c>
      <c r="C19" s="6" t="s">
        <v>367</v>
      </c>
      <c r="D19" s="6" t="s">
        <v>324</v>
      </c>
      <c r="E19" s="6" t="s">
        <v>303</v>
      </c>
      <c r="F19" s="6" t="s">
        <v>368</v>
      </c>
      <c r="G19" s="6" t="s">
        <v>313</v>
      </c>
      <c r="H19" s="6" t="s">
        <v>308</v>
      </c>
      <c r="I19" s="6" t="s">
        <v>314</v>
      </c>
      <c r="J19" s="6" t="s">
        <v>308</v>
      </c>
      <c r="K19" s="6" t="s">
        <v>28</v>
      </c>
    </row>
    <row r="20" ht="57.6" spans="1:11">
      <c r="A20" s="6" t="s">
        <v>119</v>
      </c>
      <c r="B20" s="6" t="s">
        <v>300</v>
      </c>
      <c r="C20" s="6" t="s">
        <v>369</v>
      </c>
      <c r="D20" s="6" t="s">
        <v>370</v>
      </c>
      <c r="E20" s="6" t="s">
        <v>345</v>
      </c>
      <c r="F20" s="6" t="s">
        <v>371</v>
      </c>
      <c r="G20" s="6" t="s">
        <v>305</v>
      </c>
      <c r="H20" s="6" t="s">
        <v>372</v>
      </c>
      <c r="I20" s="6" t="s">
        <v>307</v>
      </c>
      <c r="J20" s="6" t="s">
        <v>308</v>
      </c>
      <c r="K20" s="6" t="s">
        <v>28</v>
      </c>
    </row>
    <row r="21" ht="43.2" spans="1:11">
      <c r="A21" s="6" t="s">
        <v>122</v>
      </c>
      <c r="B21" s="6" t="s">
        <v>300</v>
      </c>
      <c r="C21" s="6" t="s">
        <v>373</v>
      </c>
      <c r="D21" s="6" t="s">
        <v>374</v>
      </c>
      <c r="E21" s="6" t="s">
        <v>317</v>
      </c>
      <c r="F21" s="6" t="s">
        <v>375</v>
      </c>
      <c r="G21" s="6" t="s">
        <v>305</v>
      </c>
      <c r="H21" s="6" t="s">
        <v>376</v>
      </c>
      <c r="I21" s="6" t="s">
        <v>307</v>
      </c>
      <c r="J21" s="6" t="s">
        <v>308</v>
      </c>
      <c r="K21" s="6" t="s">
        <v>28</v>
      </c>
    </row>
    <row r="22" ht="43.2" spans="1:11">
      <c r="A22" s="6" t="s">
        <v>125</v>
      </c>
      <c r="B22" s="6" t="s">
        <v>300</v>
      </c>
      <c r="C22" s="6" t="s">
        <v>377</v>
      </c>
      <c r="D22" s="6" t="s">
        <v>374</v>
      </c>
      <c r="E22" s="6" t="s">
        <v>317</v>
      </c>
      <c r="F22" s="6" t="s">
        <v>378</v>
      </c>
      <c r="G22" s="6" t="s">
        <v>313</v>
      </c>
      <c r="H22" s="6" t="s">
        <v>308</v>
      </c>
      <c r="I22" s="6" t="s">
        <v>314</v>
      </c>
      <c r="J22" s="6" t="s">
        <v>308</v>
      </c>
      <c r="K22" s="6" t="s">
        <v>28</v>
      </c>
    </row>
    <row r="23" ht="43.2" spans="1:11">
      <c r="A23" s="6" t="s">
        <v>132</v>
      </c>
      <c r="B23" s="6" t="s">
        <v>300</v>
      </c>
      <c r="C23" s="6" t="s">
        <v>379</v>
      </c>
      <c r="D23" s="6" t="s">
        <v>324</v>
      </c>
      <c r="E23" s="6" t="s">
        <v>303</v>
      </c>
      <c r="F23" s="6" t="s">
        <v>322</v>
      </c>
      <c r="G23" s="6" t="s">
        <v>313</v>
      </c>
      <c r="H23" s="6" t="s">
        <v>308</v>
      </c>
      <c r="I23" s="6" t="s">
        <v>314</v>
      </c>
      <c r="J23" s="6" t="s">
        <v>308</v>
      </c>
      <c r="K23" s="6" t="s">
        <v>28</v>
      </c>
    </row>
    <row r="24" ht="43.2" spans="1:11">
      <c r="A24" s="6" t="s">
        <v>135</v>
      </c>
      <c r="B24" s="6" t="s">
        <v>300</v>
      </c>
      <c r="C24" s="6" t="s">
        <v>380</v>
      </c>
      <c r="D24" s="6" t="s">
        <v>324</v>
      </c>
      <c r="E24" s="6" t="s">
        <v>303</v>
      </c>
      <c r="F24" s="6" t="s">
        <v>381</v>
      </c>
      <c r="G24" s="6" t="s">
        <v>313</v>
      </c>
      <c r="H24" s="6" t="s">
        <v>308</v>
      </c>
      <c r="I24" s="6" t="s">
        <v>314</v>
      </c>
      <c r="J24" s="6" t="s">
        <v>308</v>
      </c>
      <c r="K24" s="6" t="s">
        <v>28</v>
      </c>
    </row>
    <row r="25" ht="43.2" spans="1:11">
      <c r="A25" s="6" t="s">
        <v>138</v>
      </c>
      <c r="B25" s="6" t="s">
        <v>300</v>
      </c>
      <c r="C25" s="6" t="s">
        <v>382</v>
      </c>
      <c r="D25" s="6" t="s">
        <v>324</v>
      </c>
      <c r="E25" s="6" t="s">
        <v>303</v>
      </c>
      <c r="F25" s="6" t="s">
        <v>383</v>
      </c>
      <c r="G25" s="6" t="s">
        <v>313</v>
      </c>
      <c r="H25" s="6" t="s">
        <v>308</v>
      </c>
      <c r="I25" s="6" t="s">
        <v>314</v>
      </c>
      <c r="J25" s="6" t="s">
        <v>308</v>
      </c>
      <c r="K25" s="6" t="s">
        <v>28</v>
      </c>
    </row>
    <row r="26" ht="57.6" spans="1:11">
      <c r="A26" s="6" t="s">
        <v>141</v>
      </c>
      <c r="B26" s="6" t="s">
        <v>300</v>
      </c>
      <c r="C26" s="6" t="s">
        <v>384</v>
      </c>
      <c r="D26" s="6" t="s">
        <v>385</v>
      </c>
      <c r="E26" s="6" t="s">
        <v>317</v>
      </c>
      <c r="F26" s="6" t="s">
        <v>386</v>
      </c>
      <c r="G26" s="6" t="s">
        <v>305</v>
      </c>
      <c r="H26" s="6" t="s">
        <v>387</v>
      </c>
      <c r="I26" s="6" t="s">
        <v>307</v>
      </c>
      <c r="J26" s="6" t="s">
        <v>308</v>
      </c>
      <c r="K26" s="6" t="s">
        <v>28</v>
      </c>
    </row>
    <row r="27" ht="57.6" spans="1:11">
      <c r="A27" s="6" t="s">
        <v>144</v>
      </c>
      <c r="B27" s="6" t="s">
        <v>300</v>
      </c>
      <c r="C27" s="6" t="s">
        <v>388</v>
      </c>
      <c r="D27" s="6" t="s">
        <v>389</v>
      </c>
      <c r="E27" s="6" t="s">
        <v>303</v>
      </c>
      <c r="F27" s="6" t="s">
        <v>390</v>
      </c>
      <c r="G27" s="6" t="s">
        <v>305</v>
      </c>
      <c r="H27" s="6" t="s">
        <v>391</v>
      </c>
      <c r="I27" s="6" t="s">
        <v>307</v>
      </c>
      <c r="J27" s="6" t="s">
        <v>308</v>
      </c>
      <c r="K27" s="6" t="s">
        <v>28</v>
      </c>
    </row>
    <row r="28" ht="57.6" spans="1:11">
      <c r="A28" s="6" t="s">
        <v>147</v>
      </c>
      <c r="B28" s="6" t="s">
        <v>300</v>
      </c>
      <c r="C28" s="6" t="s">
        <v>392</v>
      </c>
      <c r="D28" s="6" t="s">
        <v>393</v>
      </c>
      <c r="E28" s="6" t="s">
        <v>345</v>
      </c>
      <c r="F28" s="6" t="s">
        <v>394</v>
      </c>
      <c r="G28" s="6" t="s">
        <v>305</v>
      </c>
      <c r="H28" s="6" t="s">
        <v>395</v>
      </c>
      <c r="I28" s="6" t="s">
        <v>307</v>
      </c>
      <c r="J28" s="6" t="s">
        <v>308</v>
      </c>
      <c r="K28" s="6" t="s">
        <v>28</v>
      </c>
    </row>
    <row r="29" ht="57.6" spans="1:11">
      <c r="A29" s="6" t="s">
        <v>150</v>
      </c>
      <c r="B29" s="6" t="s">
        <v>300</v>
      </c>
      <c r="C29" s="6" t="s">
        <v>396</v>
      </c>
      <c r="D29" s="6" t="s">
        <v>397</v>
      </c>
      <c r="E29" s="6" t="s">
        <v>317</v>
      </c>
      <c r="F29" s="6" t="s">
        <v>398</v>
      </c>
      <c r="G29" s="6" t="s">
        <v>305</v>
      </c>
      <c r="H29" s="6" t="s">
        <v>399</v>
      </c>
      <c r="I29" s="6" t="s">
        <v>307</v>
      </c>
      <c r="J29" s="6" t="s">
        <v>308</v>
      </c>
      <c r="K29" s="6" t="s">
        <v>28</v>
      </c>
    </row>
    <row r="30" ht="43.2" spans="1:11">
      <c r="A30" s="6" t="s">
        <v>153</v>
      </c>
      <c r="B30" s="6" t="s">
        <v>300</v>
      </c>
      <c r="C30" s="6" t="s">
        <v>400</v>
      </c>
      <c r="D30" s="6" t="s">
        <v>401</v>
      </c>
      <c r="E30" s="6" t="s">
        <v>303</v>
      </c>
      <c r="F30" s="6" t="s">
        <v>402</v>
      </c>
      <c r="G30" s="6" t="s">
        <v>305</v>
      </c>
      <c r="H30" s="6" t="s">
        <v>403</v>
      </c>
      <c r="I30" s="6" t="s">
        <v>307</v>
      </c>
      <c r="J30" s="6" t="s">
        <v>308</v>
      </c>
      <c r="K30" s="6" t="s">
        <v>28</v>
      </c>
    </row>
    <row r="31" ht="43.2" spans="1:11">
      <c r="A31" s="6" t="s">
        <v>156</v>
      </c>
      <c r="B31" s="6" t="s">
        <v>300</v>
      </c>
      <c r="C31" s="6" t="s">
        <v>404</v>
      </c>
      <c r="D31" s="6" t="s">
        <v>405</v>
      </c>
      <c r="E31" s="6" t="s">
        <v>345</v>
      </c>
      <c r="F31" s="6" t="s">
        <v>406</v>
      </c>
      <c r="G31" s="6" t="s">
        <v>313</v>
      </c>
      <c r="H31" s="6" t="s">
        <v>308</v>
      </c>
      <c r="I31" s="6" t="s">
        <v>314</v>
      </c>
      <c r="J31" s="6" t="s">
        <v>308</v>
      </c>
      <c r="K31" s="6" t="s">
        <v>28</v>
      </c>
    </row>
    <row r="32" ht="57.6" spans="1:11">
      <c r="A32" s="6" t="s">
        <v>162</v>
      </c>
      <c r="B32" s="6" t="s">
        <v>300</v>
      </c>
      <c r="C32" s="6" t="s">
        <v>407</v>
      </c>
      <c r="D32" s="6" t="s">
        <v>324</v>
      </c>
      <c r="E32" s="6" t="s">
        <v>303</v>
      </c>
      <c r="F32" s="6" t="s">
        <v>408</v>
      </c>
      <c r="G32" s="6" t="s">
        <v>305</v>
      </c>
      <c r="H32" s="6" t="s">
        <v>409</v>
      </c>
      <c r="I32" s="6" t="s">
        <v>307</v>
      </c>
      <c r="J32" s="6" t="s">
        <v>308</v>
      </c>
      <c r="K32" s="6" t="s">
        <v>28</v>
      </c>
    </row>
    <row r="33" ht="43.2" spans="1:11">
      <c r="A33" s="6" t="s">
        <v>165</v>
      </c>
      <c r="B33" s="6" t="s">
        <v>300</v>
      </c>
      <c r="C33" s="6" t="s">
        <v>410</v>
      </c>
      <c r="D33" s="6" t="s">
        <v>411</v>
      </c>
      <c r="E33" s="6" t="s">
        <v>303</v>
      </c>
      <c r="F33" s="6" t="s">
        <v>412</v>
      </c>
      <c r="G33" s="6" t="s">
        <v>305</v>
      </c>
      <c r="H33" s="6" t="s">
        <v>413</v>
      </c>
      <c r="I33" s="6" t="s">
        <v>307</v>
      </c>
      <c r="J33" s="6" t="s">
        <v>308</v>
      </c>
      <c r="K33" s="6" t="s">
        <v>28</v>
      </c>
    </row>
    <row r="34" ht="100.8" spans="1:11">
      <c r="A34" s="6" t="s">
        <v>168</v>
      </c>
      <c r="B34" s="6" t="s">
        <v>300</v>
      </c>
      <c r="C34" s="6" t="s">
        <v>414</v>
      </c>
      <c r="D34" s="6" t="s">
        <v>415</v>
      </c>
      <c r="E34" s="6" t="s">
        <v>303</v>
      </c>
      <c r="F34" s="6" t="s">
        <v>416</v>
      </c>
      <c r="G34" s="6" t="s">
        <v>305</v>
      </c>
      <c r="H34" s="6" t="s">
        <v>417</v>
      </c>
      <c r="I34" s="6" t="s">
        <v>307</v>
      </c>
      <c r="J34" s="6" t="s">
        <v>308</v>
      </c>
      <c r="K34" s="6" t="s">
        <v>28</v>
      </c>
    </row>
    <row r="35" ht="43.2" spans="1:11">
      <c r="A35" s="6" t="s">
        <v>25</v>
      </c>
      <c r="B35" s="6" t="s">
        <v>300</v>
      </c>
      <c r="C35" s="6" t="s">
        <v>418</v>
      </c>
      <c r="D35" s="6" t="s">
        <v>324</v>
      </c>
      <c r="E35" s="6" t="s">
        <v>303</v>
      </c>
      <c r="F35" s="6" t="s">
        <v>322</v>
      </c>
      <c r="G35" s="6" t="s">
        <v>313</v>
      </c>
      <c r="H35" s="6" t="s">
        <v>308</v>
      </c>
      <c r="I35" s="6" t="s">
        <v>314</v>
      </c>
      <c r="J35" s="6" t="s">
        <v>308</v>
      </c>
      <c r="K35" s="6" t="s">
        <v>28</v>
      </c>
    </row>
    <row r="36" ht="43.2" spans="1:11">
      <c r="A36" s="6" t="s">
        <v>31</v>
      </c>
      <c r="B36" s="6" t="s">
        <v>300</v>
      </c>
      <c r="C36" s="6" t="s">
        <v>419</v>
      </c>
      <c r="D36" s="6" t="s">
        <v>420</v>
      </c>
      <c r="E36" s="6" t="s">
        <v>317</v>
      </c>
      <c r="F36" s="6" t="s">
        <v>421</v>
      </c>
      <c r="G36" s="6" t="s">
        <v>313</v>
      </c>
      <c r="H36" s="6" t="s">
        <v>308</v>
      </c>
      <c r="I36" s="6" t="s">
        <v>314</v>
      </c>
      <c r="J36" s="6" t="s">
        <v>308</v>
      </c>
      <c r="K36" s="6" t="s">
        <v>28</v>
      </c>
    </row>
    <row r="37" ht="43.2" spans="1:11">
      <c r="A37" s="6" t="s">
        <v>32</v>
      </c>
      <c r="B37" s="6" t="s">
        <v>300</v>
      </c>
      <c r="C37" s="6" t="s">
        <v>422</v>
      </c>
      <c r="D37" s="6" t="s">
        <v>423</v>
      </c>
      <c r="E37" s="6" t="s">
        <v>303</v>
      </c>
      <c r="F37" s="6" t="s">
        <v>424</v>
      </c>
      <c r="G37" s="6" t="s">
        <v>313</v>
      </c>
      <c r="H37" s="6" t="s">
        <v>308</v>
      </c>
      <c r="I37" s="6" t="s">
        <v>314</v>
      </c>
      <c r="J37" s="6" t="s">
        <v>308</v>
      </c>
      <c r="K37" s="6" t="s">
        <v>28</v>
      </c>
    </row>
    <row r="38" ht="57.6" spans="1:11">
      <c r="A38" s="6" t="s">
        <v>33</v>
      </c>
      <c r="B38" s="6" t="s">
        <v>300</v>
      </c>
      <c r="C38" s="6" t="s">
        <v>425</v>
      </c>
      <c r="D38" s="6" t="s">
        <v>324</v>
      </c>
      <c r="E38" s="6" t="s">
        <v>303</v>
      </c>
      <c r="F38" s="6" t="s">
        <v>426</v>
      </c>
      <c r="G38" s="6" t="s">
        <v>305</v>
      </c>
      <c r="H38" s="6" t="s">
        <v>427</v>
      </c>
      <c r="I38" s="6" t="s">
        <v>307</v>
      </c>
      <c r="J38" s="6" t="s">
        <v>308</v>
      </c>
      <c r="K38" s="6" t="s">
        <v>28</v>
      </c>
    </row>
    <row r="39" ht="43.2" spans="1:11">
      <c r="A39" s="6" t="s">
        <v>34</v>
      </c>
      <c r="B39" s="6" t="s">
        <v>300</v>
      </c>
      <c r="C39" s="6" t="s">
        <v>428</v>
      </c>
      <c r="D39" s="6" t="s">
        <v>302</v>
      </c>
      <c r="E39" s="6" t="s">
        <v>303</v>
      </c>
      <c r="F39" s="6" t="s">
        <v>429</v>
      </c>
      <c r="G39" s="6" t="s">
        <v>313</v>
      </c>
      <c r="H39" s="6" t="s">
        <v>308</v>
      </c>
      <c r="I39" s="6" t="s">
        <v>314</v>
      </c>
      <c r="J39" s="6" t="s">
        <v>308</v>
      </c>
      <c r="K39" s="6" t="s">
        <v>28</v>
      </c>
    </row>
    <row r="40" ht="43.2" spans="1:11">
      <c r="A40" s="6" t="s">
        <v>35</v>
      </c>
      <c r="B40" s="6" t="s">
        <v>300</v>
      </c>
      <c r="C40" s="6" t="s">
        <v>430</v>
      </c>
      <c r="D40" s="6" t="s">
        <v>431</v>
      </c>
      <c r="E40" s="6" t="s">
        <v>317</v>
      </c>
      <c r="F40" s="6" t="s">
        <v>432</v>
      </c>
      <c r="G40" s="6" t="s">
        <v>305</v>
      </c>
      <c r="H40" s="6" t="s">
        <v>433</v>
      </c>
      <c r="I40" s="6" t="s">
        <v>307</v>
      </c>
      <c r="J40" s="6" t="s">
        <v>308</v>
      </c>
      <c r="K40" s="6" t="s">
        <v>28</v>
      </c>
    </row>
    <row r="41" ht="43.2" spans="1:11">
      <c r="A41" s="6" t="s">
        <v>186</v>
      </c>
      <c r="B41" s="6" t="s">
        <v>300</v>
      </c>
      <c r="C41" s="6" t="s">
        <v>434</v>
      </c>
      <c r="D41" s="6" t="s">
        <v>435</v>
      </c>
      <c r="E41" s="6" t="s">
        <v>317</v>
      </c>
      <c r="F41" s="6" t="s">
        <v>436</v>
      </c>
      <c r="G41" s="6" t="s">
        <v>313</v>
      </c>
      <c r="H41" s="6" t="s">
        <v>308</v>
      </c>
      <c r="I41" s="6" t="s">
        <v>314</v>
      </c>
      <c r="J41" s="6" t="s">
        <v>308</v>
      </c>
      <c r="K41" s="6" t="s">
        <v>28</v>
      </c>
    </row>
    <row r="42" ht="57.6" spans="1:11">
      <c r="A42" s="6" t="s">
        <v>189</v>
      </c>
      <c r="B42" s="6" t="s">
        <v>300</v>
      </c>
      <c r="C42" s="6" t="s">
        <v>437</v>
      </c>
      <c r="D42" s="6" t="s">
        <v>333</v>
      </c>
      <c r="E42" s="6" t="s">
        <v>317</v>
      </c>
      <c r="F42" s="6" t="s">
        <v>438</v>
      </c>
      <c r="G42" s="6" t="s">
        <v>305</v>
      </c>
      <c r="H42" s="6" t="s">
        <v>439</v>
      </c>
      <c r="I42" s="6" t="s">
        <v>307</v>
      </c>
      <c r="J42" s="6" t="s">
        <v>308</v>
      </c>
      <c r="K42" s="6" t="s">
        <v>28</v>
      </c>
    </row>
    <row r="43" ht="43.2" spans="1:11">
      <c r="A43" s="6" t="s">
        <v>192</v>
      </c>
      <c r="B43" s="6" t="s">
        <v>300</v>
      </c>
      <c r="C43" s="6" t="s">
        <v>440</v>
      </c>
      <c r="D43" s="6" t="s">
        <v>411</v>
      </c>
      <c r="E43" s="6" t="s">
        <v>303</v>
      </c>
      <c r="F43" s="6" t="s">
        <v>441</v>
      </c>
      <c r="G43" s="6" t="s">
        <v>305</v>
      </c>
      <c r="H43" s="6" t="s">
        <v>442</v>
      </c>
      <c r="I43" s="6" t="s">
        <v>307</v>
      </c>
      <c r="J43" s="6" t="s">
        <v>308</v>
      </c>
      <c r="K43" s="6" t="s">
        <v>28</v>
      </c>
    </row>
    <row r="44" spans="1:11">
      <c r="A44" t="s">
        <v>54</v>
      </c>
      <c r="B44" t="s">
        <v>443</v>
      </c>
      <c r="C44" t="s">
        <v>301</v>
      </c>
      <c r="D44" t="s">
        <v>444</v>
      </c>
      <c r="E44" t="s">
        <v>445</v>
      </c>
      <c r="F44" t="s">
        <v>446</v>
      </c>
      <c r="G44" t="s">
        <v>447</v>
      </c>
      <c r="H44" t="s">
        <v>306</v>
      </c>
      <c r="I44" t="s">
        <v>448</v>
      </c>
      <c r="K44" t="s">
        <v>30</v>
      </c>
    </row>
    <row r="45" spans="1:11">
      <c r="A45" t="s">
        <v>67</v>
      </c>
      <c r="B45" t="s">
        <v>443</v>
      </c>
      <c r="C45" t="s">
        <v>315</v>
      </c>
      <c r="D45" t="s">
        <v>444</v>
      </c>
      <c r="E45" t="s">
        <v>445</v>
      </c>
      <c r="F45" t="s">
        <v>449</v>
      </c>
      <c r="G45" t="s">
        <v>447</v>
      </c>
      <c r="H45" t="s">
        <v>319</v>
      </c>
      <c r="I45" t="s">
        <v>448</v>
      </c>
      <c r="K45" t="s">
        <v>30</v>
      </c>
    </row>
    <row r="46" spans="1:11">
      <c r="A46" t="s">
        <v>77</v>
      </c>
      <c r="B46" t="s">
        <v>443</v>
      </c>
      <c r="C46" t="s">
        <v>326</v>
      </c>
      <c r="D46" t="s">
        <v>444</v>
      </c>
      <c r="E46" t="s">
        <v>445</v>
      </c>
      <c r="F46" t="s">
        <v>450</v>
      </c>
      <c r="G46" t="s">
        <v>447</v>
      </c>
      <c r="H46" t="s">
        <v>328</v>
      </c>
      <c r="I46" t="s">
        <v>448</v>
      </c>
      <c r="K46" t="s">
        <v>30</v>
      </c>
    </row>
    <row r="47" spans="1:11">
      <c r="A47" t="s">
        <v>83</v>
      </c>
      <c r="B47" t="s">
        <v>443</v>
      </c>
      <c r="C47" t="s">
        <v>332</v>
      </c>
      <c r="D47" t="s">
        <v>451</v>
      </c>
      <c r="E47" t="s">
        <v>445</v>
      </c>
      <c r="F47" t="s">
        <v>452</v>
      </c>
      <c r="G47" t="s">
        <v>447</v>
      </c>
      <c r="H47" t="s">
        <v>335</v>
      </c>
      <c r="I47" t="s">
        <v>448</v>
      </c>
      <c r="K47" t="s">
        <v>30</v>
      </c>
    </row>
    <row r="48" spans="1:11">
      <c r="A48" t="s">
        <v>94</v>
      </c>
      <c r="B48" t="s">
        <v>443</v>
      </c>
      <c r="C48" t="s">
        <v>340</v>
      </c>
      <c r="D48" t="s">
        <v>444</v>
      </c>
      <c r="E48" t="s">
        <v>445</v>
      </c>
      <c r="F48" t="s">
        <v>453</v>
      </c>
      <c r="G48" t="s">
        <v>447</v>
      </c>
      <c r="H48" t="s">
        <v>342</v>
      </c>
      <c r="I48" t="s">
        <v>448</v>
      </c>
      <c r="K48" t="s">
        <v>30</v>
      </c>
    </row>
    <row r="49" spans="1:11">
      <c r="A49" t="s">
        <v>97</v>
      </c>
      <c r="B49" t="s">
        <v>443</v>
      </c>
      <c r="C49" t="s">
        <v>343</v>
      </c>
      <c r="D49" t="s">
        <v>444</v>
      </c>
      <c r="E49" t="s">
        <v>445</v>
      </c>
      <c r="F49" t="s">
        <v>454</v>
      </c>
      <c r="G49" t="s">
        <v>447</v>
      </c>
      <c r="H49" t="s">
        <v>347</v>
      </c>
      <c r="I49" t="s">
        <v>448</v>
      </c>
      <c r="K49" t="s">
        <v>30</v>
      </c>
    </row>
    <row r="50" spans="1:11">
      <c r="A50" t="s">
        <v>100</v>
      </c>
      <c r="B50" t="s">
        <v>443</v>
      </c>
      <c r="C50" t="s">
        <v>348</v>
      </c>
      <c r="D50" t="s">
        <v>444</v>
      </c>
      <c r="E50" t="s">
        <v>445</v>
      </c>
      <c r="F50" t="s">
        <v>455</v>
      </c>
      <c r="G50" t="s">
        <v>447</v>
      </c>
      <c r="H50" t="s">
        <v>351</v>
      </c>
      <c r="I50" t="s">
        <v>448</v>
      </c>
      <c r="K50" t="s">
        <v>30</v>
      </c>
    </row>
    <row r="51" spans="1:11">
      <c r="A51" t="s">
        <v>106</v>
      </c>
      <c r="B51" t="s">
        <v>443</v>
      </c>
      <c r="C51" t="s">
        <v>355</v>
      </c>
      <c r="D51" t="s">
        <v>456</v>
      </c>
      <c r="E51" t="s">
        <v>457</v>
      </c>
      <c r="F51" t="s">
        <v>458</v>
      </c>
      <c r="G51" t="s">
        <v>447</v>
      </c>
      <c r="H51" t="s">
        <v>358</v>
      </c>
      <c r="I51" t="s">
        <v>448</v>
      </c>
      <c r="K51" t="s">
        <v>30</v>
      </c>
    </row>
    <row r="52" spans="1:11">
      <c r="A52" t="s">
        <v>113</v>
      </c>
      <c r="B52" t="s">
        <v>443</v>
      </c>
      <c r="C52" t="s">
        <v>362</v>
      </c>
      <c r="D52" t="s">
        <v>459</v>
      </c>
      <c r="E52" t="s">
        <v>445</v>
      </c>
      <c r="F52" t="s">
        <v>460</v>
      </c>
      <c r="G52" t="s">
        <v>447</v>
      </c>
      <c r="H52" t="s">
        <v>366</v>
      </c>
      <c r="I52" t="s">
        <v>448</v>
      </c>
      <c r="K52" t="s">
        <v>30</v>
      </c>
    </row>
    <row r="53" spans="1:11">
      <c r="A53" t="s">
        <v>119</v>
      </c>
      <c r="B53" t="s">
        <v>443</v>
      </c>
      <c r="C53" t="s">
        <v>369</v>
      </c>
      <c r="D53" t="s">
        <v>444</v>
      </c>
      <c r="E53" t="s">
        <v>445</v>
      </c>
      <c r="F53" t="s">
        <v>461</v>
      </c>
      <c r="G53" t="s">
        <v>447</v>
      </c>
      <c r="H53" t="s">
        <v>372</v>
      </c>
      <c r="I53" t="s">
        <v>448</v>
      </c>
      <c r="K53" t="s">
        <v>30</v>
      </c>
    </row>
    <row r="54" spans="1:11">
      <c r="A54" t="s">
        <v>122</v>
      </c>
      <c r="B54" t="s">
        <v>443</v>
      </c>
      <c r="C54" t="s">
        <v>373</v>
      </c>
      <c r="D54" t="s">
        <v>444</v>
      </c>
      <c r="E54" t="s">
        <v>445</v>
      </c>
      <c r="F54" t="s">
        <v>462</v>
      </c>
      <c r="G54" t="s">
        <v>447</v>
      </c>
      <c r="H54" t="s">
        <v>376</v>
      </c>
      <c r="I54" t="s">
        <v>448</v>
      </c>
      <c r="K54" t="s">
        <v>30</v>
      </c>
    </row>
    <row r="55" spans="1:11">
      <c r="A55" t="s">
        <v>141</v>
      </c>
      <c r="B55" t="s">
        <v>443</v>
      </c>
      <c r="C55" t="s">
        <v>384</v>
      </c>
      <c r="D55" t="s">
        <v>444</v>
      </c>
      <c r="E55" t="s">
        <v>445</v>
      </c>
      <c r="F55" t="s">
        <v>463</v>
      </c>
      <c r="G55" t="s">
        <v>447</v>
      </c>
      <c r="H55" t="s">
        <v>387</v>
      </c>
      <c r="I55" t="s">
        <v>448</v>
      </c>
      <c r="K55" t="s">
        <v>30</v>
      </c>
    </row>
    <row r="56" spans="1:11">
      <c r="A56" t="s">
        <v>144</v>
      </c>
      <c r="B56" t="s">
        <v>443</v>
      </c>
      <c r="C56" t="s">
        <v>388</v>
      </c>
      <c r="D56" t="s">
        <v>464</v>
      </c>
      <c r="E56" t="s">
        <v>445</v>
      </c>
      <c r="F56" t="s">
        <v>465</v>
      </c>
      <c r="G56" t="s">
        <v>447</v>
      </c>
      <c r="H56" t="s">
        <v>391</v>
      </c>
      <c r="I56" t="s">
        <v>448</v>
      </c>
      <c r="K56" t="s">
        <v>30</v>
      </c>
    </row>
    <row r="57" spans="1:11">
      <c r="A57" t="s">
        <v>147</v>
      </c>
      <c r="B57" t="s">
        <v>443</v>
      </c>
      <c r="C57" t="s">
        <v>392</v>
      </c>
      <c r="D57" t="s">
        <v>466</v>
      </c>
      <c r="E57" t="s">
        <v>445</v>
      </c>
      <c r="F57" t="s">
        <v>467</v>
      </c>
      <c r="G57" t="s">
        <v>447</v>
      </c>
      <c r="H57" t="s">
        <v>395</v>
      </c>
      <c r="I57" t="s">
        <v>448</v>
      </c>
      <c r="K57" t="s">
        <v>30</v>
      </c>
    </row>
    <row r="58" spans="1:11">
      <c r="A58" t="s">
        <v>150</v>
      </c>
      <c r="B58" t="s">
        <v>443</v>
      </c>
      <c r="C58" t="s">
        <v>396</v>
      </c>
      <c r="D58" t="s">
        <v>468</v>
      </c>
      <c r="E58" t="s">
        <v>445</v>
      </c>
      <c r="F58" t="s">
        <v>469</v>
      </c>
      <c r="G58" t="s">
        <v>447</v>
      </c>
      <c r="H58" t="s">
        <v>399</v>
      </c>
      <c r="I58" t="s">
        <v>448</v>
      </c>
      <c r="K58" t="s">
        <v>30</v>
      </c>
    </row>
    <row r="59" spans="1:11">
      <c r="A59" t="s">
        <v>153</v>
      </c>
      <c r="B59" t="s">
        <v>443</v>
      </c>
      <c r="C59" t="s">
        <v>400</v>
      </c>
      <c r="D59" t="s">
        <v>444</v>
      </c>
      <c r="E59" t="s">
        <v>445</v>
      </c>
      <c r="F59" t="s">
        <v>470</v>
      </c>
      <c r="G59" t="s">
        <v>447</v>
      </c>
      <c r="H59" t="s">
        <v>403</v>
      </c>
      <c r="I59" t="s">
        <v>448</v>
      </c>
      <c r="K59" t="s">
        <v>30</v>
      </c>
    </row>
    <row r="60" spans="1:11">
      <c r="A60" t="s">
        <v>162</v>
      </c>
      <c r="B60" t="s">
        <v>443</v>
      </c>
      <c r="C60" t="s">
        <v>407</v>
      </c>
      <c r="D60" t="s">
        <v>444</v>
      </c>
      <c r="E60" t="s">
        <v>445</v>
      </c>
      <c r="F60" t="s">
        <v>471</v>
      </c>
      <c r="G60" t="s">
        <v>447</v>
      </c>
      <c r="H60" t="s">
        <v>409</v>
      </c>
      <c r="I60" t="s">
        <v>448</v>
      </c>
      <c r="K60" t="s">
        <v>30</v>
      </c>
    </row>
    <row r="61" spans="1:11">
      <c r="A61" t="s">
        <v>165</v>
      </c>
      <c r="B61" t="s">
        <v>443</v>
      </c>
      <c r="C61" t="s">
        <v>410</v>
      </c>
      <c r="D61" t="s">
        <v>444</v>
      </c>
      <c r="E61" t="s">
        <v>445</v>
      </c>
      <c r="F61" t="s">
        <v>472</v>
      </c>
      <c r="G61" t="s">
        <v>447</v>
      </c>
      <c r="H61" t="s">
        <v>413</v>
      </c>
      <c r="I61" t="s">
        <v>448</v>
      </c>
      <c r="K61" t="s">
        <v>30</v>
      </c>
    </row>
    <row r="62" spans="1:11">
      <c r="A62" t="s">
        <v>168</v>
      </c>
      <c r="B62" t="s">
        <v>443</v>
      </c>
      <c r="C62" t="s">
        <v>414</v>
      </c>
      <c r="D62" t="s">
        <v>466</v>
      </c>
      <c r="E62" t="s">
        <v>445</v>
      </c>
      <c r="F62" t="s">
        <v>473</v>
      </c>
      <c r="G62" t="s">
        <v>447</v>
      </c>
      <c r="H62" t="s">
        <v>417</v>
      </c>
      <c r="I62" t="s">
        <v>448</v>
      </c>
      <c r="K62" t="s">
        <v>30</v>
      </c>
    </row>
    <row r="63" spans="1:11">
      <c r="A63" t="s">
        <v>33</v>
      </c>
      <c r="B63" t="s">
        <v>443</v>
      </c>
      <c r="C63" t="s">
        <v>425</v>
      </c>
      <c r="D63" t="s">
        <v>444</v>
      </c>
      <c r="E63" t="s">
        <v>445</v>
      </c>
      <c r="F63" t="s">
        <v>474</v>
      </c>
      <c r="G63" t="s">
        <v>447</v>
      </c>
      <c r="H63" t="s">
        <v>427</v>
      </c>
      <c r="I63" t="s">
        <v>448</v>
      </c>
      <c r="K63" t="s">
        <v>30</v>
      </c>
    </row>
    <row r="64" spans="1:11">
      <c r="A64" t="s">
        <v>35</v>
      </c>
      <c r="B64" t="s">
        <v>443</v>
      </c>
      <c r="C64" t="s">
        <v>430</v>
      </c>
      <c r="D64" t="s">
        <v>444</v>
      </c>
      <c r="E64" t="s">
        <v>445</v>
      </c>
      <c r="F64" t="s">
        <v>475</v>
      </c>
      <c r="G64" t="s">
        <v>447</v>
      </c>
      <c r="H64" t="s">
        <v>433</v>
      </c>
      <c r="I64" t="s">
        <v>448</v>
      </c>
      <c r="K64" t="s">
        <v>30</v>
      </c>
    </row>
    <row r="65" spans="1:11">
      <c r="A65" t="s">
        <v>189</v>
      </c>
      <c r="B65" t="s">
        <v>443</v>
      </c>
      <c r="C65" t="s">
        <v>437</v>
      </c>
      <c r="D65" t="s">
        <v>476</v>
      </c>
      <c r="E65" t="s">
        <v>477</v>
      </c>
      <c r="F65" t="s">
        <v>478</v>
      </c>
      <c r="G65" t="s">
        <v>479</v>
      </c>
      <c r="H65" t="s">
        <v>437</v>
      </c>
      <c r="I65" t="s">
        <v>480</v>
      </c>
      <c r="K65" t="s">
        <v>30</v>
      </c>
    </row>
    <row r="66" spans="1:11">
      <c r="A66" t="s">
        <v>192</v>
      </c>
      <c r="B66" t="s">
        <v>443</v>
      </c>
      <c r="C66" t="s">
        <v>440</v>
      </c>
      <c r="D66" t="s">
        <v>444</v>
      </c>
      <c r="E66" t="s">
        <v>445</v>
      </c>
      <c r="F66" t="s">
        <v>481</v>
      </c>
      <c r="G66" t="s">
        <v>447</v>
      </c>
      <c r="H66" t="s">
        <v>442</v>
      </c>
      <c r="I66" t="s">
        <v>448</v>
      </c>
      <c r="K66" t="s">
        <v>30</v>
      </c>
    </row>
  </sheetData>
  <autoFilter xmlns:etc="http://www.wps.cn/officeDocument/2017/etCustomData" ref="A1:K66" etc:filterBottomFollowUsedRange="0">
    <extLst/>
  </autoFilter>
  <dataValidations count="2">
    <dataValidation type="list" allowBlank="1" showInputMessage="1" showErrorMessage="1" sqref="B2:B43">
      <formula1>"R1→R2,R2→最终"</formula1>
    </dataValidation>
    <dataValidation type="list" allowBlank="1" showInputMessage="1" showErrorMessage="1" sqref="G2:G43">
      <formula1>"保留,小幅编辑,进入R2,合并,删除,政策例外保留,有条件保留"</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7"/>
  <sheetViews>
    <sheetView workbookViewId="0">
      <pane xSplit="4" ySplit="1" topLeftCell="E2" activePane="bottomRight" state="frozen"/>
      <selection/>
      <selection pane="topRight"/>
      <selection pane="bottomLeft"/>
      <selection pane="bottomRight" activeCell="A1" sqref="A1"/>
    </sheetView>
  </sheetViews>
  <sheetFormatPr defaultColWidth="9" defaultRowHeight="14.4"/>
  <cols>
    <col min="1" max="3" width="12.712962962963" customWidth="1"/>
    <col min="4" max="4" width="45.712962962963" customWidth="1"/>
    <col min="5" max="8" width="14.712962962963" customWidth="1"/>
    <col min="9" max="9" width="18.712962962963" customWidth="1"/>
    <col min="10" max="10" width="45.712962962963" customWidth="1"/>
  </cols>
  <sheetData>
    <row r="1" spans="1:10">
      <c r="A1" s="5" t="s">
        <v>13</v>
      </c>
      <c r="B1" s="5" t="s">
        <v>14</v>
      </c>
      <c r="C1" s="5" t="s">
        <v>43</v>
      </c>
      <c r="D1" s="5" t="s">
        <v>482</v>
      </c>
      <c r="E1" s="5" t="s">
        <v>483</v>
      </c>
      <c r="F1" s="5" t="s">
        <v>484</v>
      </c>
      <c r="G1" s="5" t="s">
        <v>485</v>
      </c>
      <c r="H1" s="5" t="s">
        <v>486</v>
      </c>
      <c r="I1" s="5" t="s">
        <v>487</v>
      </c>
      <c r="J1" s="5" t="s">
        <v>488</v>
      </c>
    </row>
    <row r="2" ht="43.2" spans="1:10">
      <c r="A2" s="7" t="s">
        <v>25</v>
      </c>
      <c r="B2" s="7" t="s">
        <v>26</v>
      </c>
      <c r="C2" s="7" t="s">
        <v>54</v>
      </c>
      <c r="D2" s="6" t="s">
        <v>306</v>
      </c>
      <c r="E2" s="7">
        <v>1</v>
      </c>
      <c r="F2" s="7">
        <v>4</v>
      </c>
      <c r="G2" s="7">
        <v>0</v>
      </c>
      <c r="H2" s="7">
        <v>4</v>
      </c>
      <c r="I2" s="7" t="s">
        <v>27</v>
      </c>
      <c r="J2" s="6"/>
    </row>
    <row r="3" ht="28.8" spans="1:10">
      <c r="A3" s="7" t="s">
        <v>25</v>
      </c>
      <c r="B3" s="7" t="s">
        <v>26</v>
      </c>
      <c r="C3" s="7" t="s">
        <v>67</v>
      </c>
      <c r="D3" s="6" t="s">
        <v>319</v>
      </c>
      <c r="E3" s="7">
        <v>1</v>
      </c>
      <c r="F3" s="7">
        <v>3</v>
      </c>
      <c r="G3" s="7">
        <v>1</v>
      </c>
      <c r="H3" s="7">
        <v>4</v>
      </c>
      <c r="I3" s="7" t="s">
        <v>27</v>
      </c>
      <c r="J3" s="6" t="s">
        <v>489</v>
      </c>
    </row>
    <row r="4" ht="43.2" spans="1:10">
      <c r="A4" s="7" t="s">
        <v>25</v>
      </c>
      <c r="B4" s="7" t="s">
        <v>26</v>
      </c>
      <c r="C4" s="7" t="s">
        <v>77</v>
      </c>
      <c r="D4" s="6" t="s">
        <v>328</v>
      </c>
      <c r="E4" s="7">
        <v>1</v>
      </c>
      <c r="F4" s="7">
        <v>4</v>
      </c>
      <c r="G4" s="7">
        <v>0</v>
      </c>
      <c r="H4" s="7">
        <v>4</v>
      </c>
      <c r="I4" s="7" t="s">
        <v>27</v>
      </c>
      <c r="J4" s="6"/>
    </row>
    <row r="5" ht="43.2" spans="1:10">
      <c r="A5" s="7" t="s">
        <v>25</v>
      </c>
      <c r="B5" s="7" t="s">
        <v>26</v>
      </c>
      <c r="C5" s="7" t="s">
        <v>83</v>
      </c>
      <c r="D5" s="6" t="s">
        <v>335</v>
      </c>
      <c r="E5" s="7">
        <v>1</v>
      </c>
      <c r="F5" s="7">
        <v>3</v>
      </c>
      <c r="G5" s="7">
        <v>1</v>
      </c>
      <c r="H5" s="7">
        <v>3</v>
      </c>
      <c r="I5" s="7" t="s">
        <v>27</v>
      </c>
      <c r="J5" s="6"/>
    </row>
    <row r="6" ht="28.8" spans="1:10">
      <c r="A6" s="7" t="s">
        <v>25</v>
      </c>
      <c r="B6" s="7" t="s">
        <v>26</v>
      </c>
      <c r="C6" s="7" t="s">
        <v>94</v>
      </c>
      <c r="D6" s="6" t="s">
        <v>342</v>
      </c>
      <c r="E6" s="7">
        <v>1</v>
      </c>
      <c r="F6" s="7">
        <v>4</v>
      </c>
      <c r="G6" s="7">
        <v>0</v>
      </c>
      <c r="H6" s="7">
        <v>4</v>
      </c>
      <c r="I6" s="7" t="s">
        <v>27</v>
      </c>
      <c r="J6" s="6"/>
    </row>
    <row r="7" ht="28.8" spans="1:10">
      <c r="A7" s="7" t="s">
        <v>25</v>
      </c>
      <c r="B7" s="7" t="s">
        <v>26</v>
      </c>
      <c r="C7" s="7" t="s">
        <v>97</v>
      </c>
      <c r="D7" s="6" t="s">
        <v>347</v>
      </c>
      <c r="E7" s="7">
        <v>1</v>
      </c>
      <c r="F7" s="7">
        <v>3.5</v>
      </c>
      <c r="G7" s="7">
        <v>1</v>
      </c>
      <c r="H7" s="7">
        <v>4</v>
      </c>
      <c r="I7" s="7" t="s">
        <v>27</v>
      </c>
      <c r="J7" s="6"/>
    </row>
    <row r="8" ht="43.2" spans="1:10">
      <c r="A8" s="7" t="s">
        <v>25</v>
      </c>
      <c r="B8" s="7" t="s">
        <v>26</v>
      </c>
      <c r="C8" s="7" t="s">
        <v>100</v>
      </c>
      <c r="D8" s="6" t="s">
        <v>351</v>
      </c>
      <c r="E8" s="7">
        <v>1</v>
      </c>
      <c r="F8" s="7">
        <v>4</v>
      </c>
      <c r="G8" s="7">
        <v>1</v>
      </c>
      <c r="H8" s="7">
        <v>4</v>
      </c>
      <c r="I8" s="7" t="s">
        <v>27</v>
      </c>
      <c r="J8" s="6"/>
    </row>
    <row r="9" ht="43.2" spans="1:10">
      <c r="A9" s="7" t="s">
        <v>25</v>
      </c>
      <c r="B9" s="7" t="s">
        <v>26</v>
      </c>
      <c r="C9" s="7" t="s">
        <v>106</v>
      </c>
      <c r="D9" s="6" t="s">
        <v>358</v>
      </c>
      <c r="E9" s="7">
        <v>1</v>
      </c>
      <c r="F9" s="7">
        <v>4</v>
      </c>
      <c r="G9" s="7">
        <v>0</v>
      </c>
      <c r="H9" s="7">
        <v>4</v>
      </c>
      <c r="I9" s="7" t="s">
        <v>27</v>
      </c>
      <c r="J9" s="6"/>
    </row>
    <row r="10" ht="43.2" spans="1:10">
      <c r="A10" s="7" t="s">
        <v>25</v>
      </c>
      <c r="B10" s="7" t="s">
        <v>26</v>
      </c>
      <c r="C10" s="7" t="s">
        <v>113</v>
      </c>
      <c r="D10" s="6" t="s">
        <v>366</v>
      </c>
      <c r="E10" s="7">
        <v>0.917</v>
      </c>
      <c r="F10" s="7">
        <v>3</v>
      </c>
      <c r="G10" s="7">
        <v>1</v>
      </c>
      <c r="H10" s="7">
        <v>3</v>
      </c>
      <c r="I10" s="7" t="s">
        <v>27</v>
      </c>
      <c r="J10" s="6"/>
    </row>
    <row r="11" ht="43.2" spans="1:10">
      <c r="A11" s="7" t="s">
        <v>25</v>
      </c>
      <c r="B11" s="7" t="s">
        <v>26</v>
      </c>
      <c r="C11" s="7" t="s">
        <v>119</v>
      </c>
      <c r="D11" s="6" t="s">
        <v>372</v>
      </c>
      <c r="E11" s="7">
        <v>1</v>
      </c>
      <c r="F11" s="7">
        <v>3.5</v>
      </c>
      <c r="G11" s="7">
        <v>1</v>
      </c>
      <c r="H11" s="7">
        <v>4</v>
      </c>
      <c r="I11" s="7" t="s">
        <v>27</v>
      </c>
      <c r="J11" s="6"/>
    </row>
    <row r="12" ht="43.2" spans="1:10">
      <c r="A12" s="7" t="s">
        <v>25</v>
      </c>
      <c r="B12" s="7" t="s">
        <v>26</v>
      </c>
      <c r="C12" s="7" t="s">
        <v>122</v>
      </c>
      <c r="D12" s="6" t="s">
        <v>376</v>
      </c>
      <c r="E12" s="7">
        <v>1</v>
      </c>
      <c r="F12" s="7">
        <v>3</v>
      </c>
      <c r="G12" s="7">
        <v>1</v>
      </c>
      <c r="H12" s="7">
        <v>4</v>
      </c>
      <c r="I12" s="7" t="s">
        <v>27</v>
      </c>
      <c r="J12" s="6"/>
    </row>
    <row r="13" ht="43.2" spans="1:10">
      <c r="A13" s="7" t="s">
        <v>25</v>
      </c>
      <c r="B13" s="7" t="s">
        <v>26</v>
      </c>
      <c r="C13" s="7" t="s">
        <v>141</v>
      </c>
      <c r="D13" s="6" t="s">
        <v>387</v>
      </c>
      <c r="E13" s="7">
        <v>1</v>
      </c>
      <c r="F13" s="7">
        <v>3</v>
      </c>
      <c r="G13" s="7">
        <v>0.25</v>
      </c>
      <c r="H13" s="7">
        <v>4</v>
      </c>
      <c r="I13" s="7" t="s">
        <v>27</v>
      </c>
      <c r="J13" s="6"/>
    </row>
    <row r="14" ht="43.2" spans="1:10">
      <c r="A14" s="7" t="s">
        <v>25</v>
      </c>
      <c r="B14" s="7" t="s">
        <v>26</v>
      </c>
      <c r="C14" s="7" t="s">
        <v>144</v>
      </c>
      <c r="D14" s="6" t="s">
        <v>391</v>
      </c>
      <c r="E14" s="7">
        <v>1</v>
      </c>
      <c r="F14" s="7">
        <v>4</v>
      </c>
      <c r="G14" s="7">
        <v>0</v>
      </c>
      <c r="H14" s="7">
        <v>4</v>
      </c>
      <c r="I14" s="7" t="s">
        <v>27</v>
      </c>
      <c r="J14" s="6"/>
    </row>
    <row r="15" ht="43.2" spans="1:10">
      <c r="A15" s="7" t="s">
        <v>25</v>
      </c>
      <c r="B15" s="7" t="s">
        <v>26</v>
      </c>
      <c r="C15" s="7" t="s">
        <v>147</v>
      </c>
      <c r="D15" s="6" t="s">
        <v>395</v>
      </c>
      <c r="E15" s="7">
        <v>1</v>
      </c>
      <c r="F15" s="7">
        <v>3.5</v>
      </c>
      <c r="G15" s="7">
        <v>1</v>
      </c>
      <c r="H15" s="7">
        <v>4</v>
      </c>
      <c r="I15" s="7" t="s">
        <v>27</v>
      </c>
      <c r="J15" s="6"/>
    </row>
    <row r="16" ht="28.8" spans="1:10">
      <c r="A16" s="7" t="s">
        <v>25</v>
      </c>
      <c r="B16" s="7" t="s">
        <v>26</v>
      </c>
      <c r="C16" s="7" t="s">
        <v>150</v>
      </c>
      <c r="D16" s="6" t="s">
        <v>399</v>
      </c>
      <c r="E16" s="7">
        <v>1</v>
      </c>
      <c r="F16" s="7">
        <v>3</v>
      </c>
      <c r="G16" s="7">
        <v>1</v>
      </c>
      <c r="H16" s="7">
        <v>4</v>
      </c>
      <c r="I16" s="7" t="s">
        <v>27</v>
      </c>
      <c r="J16" s="6"/>
    </row>
    <row r="17" ht="43.2" spans="1:10">
      <c r="A17" s="7" t="s">
        <v>25</v>
      </c>
      <c r="B17" s="7" t="s">
        <v>26</v>
      </c>
      <c r="C17" s="7" t="s">
        <v>153</v>
      </c>
      <c r="D17" s="6" t="s">
        <v>403</v>
      </c>
      <c r="E17" s="7">
        <v>1</v>
      </c>
      <c r="F17" s="7">
        <v>4</v>
      </c>
      <c r="G17" s="7">
        <v>0.25</v>
      </c>
      <c r="H17" s="7">
        <v>4</v>
      </c>
      <c r="I17" s="7" t="s">
        <v>27</v>
      </c>
      <c r="J17" s="6"/>
    </row>
    <row r="18" ht="43.2" spans="1:10">
      <c r="A18" s="7" t="s">
        <v>25</v>
      </c>
      <c r="B18" s="7" t="s">
        <v>26</v>
      </c>
      <c r="C18" s="7" t="s">
        <v>162</v>
      </c>
      <c r="D18" s="6" t="s">
        <v>409</v>
      </c>
      <c r="E18" s="7">
        <v>1</v>
      </c>
      <c r="F18" s="7">
        <v>4</v>
      </c>
      <c r="G18" s="7">
        <v>0</v>
      </c>
      <c r="H18" s="7">
        <v>4</v>
      </c>
      <c r="I18" s="7" t="s">
        <v>27</v>
      </c>
      <c r="J18" s="6"/>
    </row>
    <row r="19" ht="43.2" spans="1:10">
      <c r="A19" s="7" t="s">
        <v>25</v>
      </c>
      <c r="B19" s="7" t="s">
        <v>26</v>
      </c>
      <c r="C19" s="7" t="s">
        <v>165</v>
      </c>
      <c r="D19" s="6" t="s">
        <v>413</v>
      </c>
      <c r="E19" s="7">
        <v>1</v>
      </c>
      <c r="F19" s="7">
        <v>4</v>
      </c>
      <c r="G19" s="7">
        <v>1</v>
      </c>
      <c r="H19" s="7">
        <v>4</v>
      </c>
      <c r="I19" s="7" t="s">
        <v>27</v>
      </c>
      <c r="J19" s="6"/>
    </row>
    <row r="20" ht="57.6" spans="1:10">
      <c r="A20" s="7" t="s">
        <v>25</v>
      </c>
      <c r="B20" s="7" t="s">
        <v>26</v>
      </c>
      <c r="C20" s="7" t="s">
        <v>168</v>
      </c>
      <c r="D20" s="6" t="s">
        <v>417</v>
      </c>
      <c r="E20" s="7">
        <v>1</v>
      </c>
      <c r="F20" s="7">
        <v>4</v>
      </c>
      <c r="G20" s="7">
        <v>1</v>
      </c>
      <c r="H20" s="7">
        <v>3</v>
      </c>
      <c r="I20" s="7" t="s">
        <v>27</v>
      </c>
      <c r="J20" s="6" t="s">
        <v>490</v>
      </c>
    </row>
    <row r="21" ht="43.2" spans="1:10">
      <c r="A21" s="7" t="s">
        <v>25</v>
      </c>
      <c r="B21" s="7" t="s">
        <v>26</v>
      </c>
      <c r="C21" s="7" t="s">
        <v>33</v>
      </c>
      <c r="D21" s="6" t="s">
        <v>427</v>
      </c>
      <c r="E21" s="7">
        <v>1</v>
      </c>
      <c r="F21" s="7">
        <v>4</v>
      </c>
      <c r="G21" s="7">
        <v>0</v>
      </c>
      <c r="H21" s="7">
        <v>4</v>
      </c>
      <c r="I21" s="7" t="s">
        <v>27</v>
      </c>
      <c r="J21" s="6"/>
    </row>
    <row r="22" ht="28.8" spans="1:10">
      <c r="A22" s="7" t="s">
        <v>25</v>
      </c>
      <c r="B22" s="7" t="s">
        <v>26</v>
      </c>
      <c r="C22" s="7" t="s">
        <v>35</v>
      </c>
      <c r="D22" s="6" t="s">
        <v>433</v>
      </c>
      <c r="E22" s="7">
        <v>1</v>
      </c>
      <c r="F22" s="7">
        <v>3</v>
      </c>
      <c r="G22" s="7">
        <v>1</v>
      </c>
      <c r="H22" s="7">
        <v>4</v>
      </c>
      <c r="I22" s="7" t="s">
        <v>27</v>
      </c>
      <c r="J22" s="6"/>
    </row>
    <row r="23" ht="43.2" spans="1:10">
      <c r="A23" s="7" t="s">
        <v>25</v>
      </c>
      <c r="B23" s="7" t="s">
        <v>26</v>
      </c>
      <c r="C23" s="7" t="s">
        <v>189</v>
      </c>
      <c r="D23" s="6" t="s">
        <v>439</v>
      </c>
      <c r="E23" s="7">
        <v>1</v>
      </c>
      <c r="F23" s="7">
        <v>3</v>
      </c>
      <c r="G23" s="7">
        <v>1</v>
      </c>
      <c r="H23" s="7">
        <v>3</v>
      </c>
      <c r="I23" s="7" t="s">
        <v>86</v>
      </c>
      <c r="J23" s="6" t="s">
        <v>491</v>
      </c>
    </row>
    <row r="24" ht="28.8" spans="1:10">
      <c r="A24" s="7" t="s">
        <v>25</v>
      </c>
      <c r="B24" s="7" t="s">
        <v>26</v>
      </c>
      <c r="C24" s="7" t="s">
        <v>192</v>
      </c>
      <c r="D24" s="6" t="s">
        <v>442</v>
      </c>
      <c r="E24" s="7">
        <v>1</v>
      </c>
      <c r="F24" s="7">
        <v>4</v>
      </c>
      <c r="G24" s="7">
        <v>1</v>
      </c>
      <c r="H24" s="7">
        <v>4</v>
      </c>
      <c r="I24" s="7" t="s">
        <v>27</v>
      </c>
      <c r="J24" s="6"/>
    </row>
    <row r="25" ht="43.2" spans="1:10">
      <c r="A25" s="7" t="s">
        <v>31</v>
      </c>
      <c r="B25" s="7" t="s">
        <v>26</v>
      </c>
      <c r="C25" s="7" t="s">
        <v>54</v>
      </c>
      <c r="D25" s="6" t="s">
        <v>306</v>
      </c>
      <c r="E25" s="7">
        <v>1</v>
      </c>
      <c r="F25" s="7">
        <v>4</v>
      </c>
      <c r="G25" s="7">
        <v>0</v>
      </c>
      <c r="H25" s="7">
        <v>4</v>
      </c>
      <c r="I25" s="7" t="s">
        <v>27</v>
      </c>
      <c r="J25" s="6"/>
    </row>
    <row r="26" ht="28.8" spans="1:10">
      <c r="A26" s="7" t="s">
        <v>31</v>
      </c>
      <c r="B26" s="7" t="s">
        <v>26</v>
      </c>
      <c r="C26" s="7" t="s">
        <v>67</v>
      </c>
      <c r="D26" s="6" t="s">
        <v>319</v>
      </c>
      <c r="E26" s="7">
        <v>1</v>
      </c>
      <c r="F26" s="7">
        <v>3</v>
      </c>
      <c r="G26" s="7">
        <v>1</v>
      </c>
      <c r="H26" s="7">
        <v>4</v>
      </c>
      <c r="I26" s="7" t="s">
        <v>27</v>
      </c>
      <c r="J26" s="6"/>
    </row>
    <row r="27" ht="43.2" spans="1:10">
      <c r="A27" s="7" t="s">
        <v>31</v>
      </c>
      <c r="B27" s="7" t="s">
        <v>26</v>
      </c>
      <c r="C27" s="7" t="s">
        <v>77</v>
      </c>
      <c r="D27" s="6" t="s">
        <v>328</v>
      </c>
      <c r="E27" s="7">
        <v>1</v>
      </c>
      <c r="F27" s="7">
        <v>4</v>
      </c>
      <c r="G27" s="7">
        <v>0</v>
      </c>
      <c r="H27" s="7">
        <v>4</v>
      </c>
      <c r="I27" s="7" t="s">
        <v>27</v>
      </c>
      <c r="J27" s="6"/>
    </row>
    <row r="28" ht="43.2" spans="1:10">
      <c r="A28" s="7" t="s">
        <v>31</v>
      </c>
      <c r="B28" s="7" t="s">
        <v>26</v>
      </c>
      <c r="C28" s="7" t="s">
        <v>83</v>
      </c>
      <c r="D28" s="6" t="s">
        <v>335</v>
      </c>
      <c r="E28" s="7">
        <v>1</v>
      </c>
      <c r="F28" s="7">
        <v>3</v>
      </c>
      <c r="G28" s="7">
        <v>1</v>
      </c>
      <c r="H28" s="7">
        <v>3</v>
      </c>
      <c r="I28" s="7" t="s">
        <v>27</v>
      </c>
      <c r="J28" s="6"/>
    </row>
    <row r="29" ht="28.8" spans="1:10">
      <c r="A29" s="7" t="s">
        <v>31</v>
      </c>
      <c r="B29" s="7" t="s">
        <v>26</v>
      </c>
      <c r="C29" s="7" t="s">
        <v>94</v>
      </c>
      <c r="D29" s="6" t="s">
        <v>342</v>
      </c>
      <c r="E29" s="7">
        <v>1</v>
      </c>
      <c r="F29" s="7">
        <v>4</v>
      </c>
      <c r="G29" s="7">
        <v>0</v>
      </c>
      <c r="H29" s="7">
        <v>4</v>
      </c>
      <c r="I29" s="7" t="s">
        <v>27</v>
      </c>
      <c r="J29" s="6"/>
    </row>
    <row r="30" ht="28.8" spans="1:10">
      <c r="A30" s="7" t="s">
        <v>31</v>
      </c>
      <c r="B30" s="7" t="s">
        <v>26</v>
      </c>
      <c r="C30" s="7" t="s">
        <v>97</v>
      </c>
      <c r="D30" s="6" t="s">
        <v>347</v>
      </c>
      <c r="E30" s="7">
        <v>1</v>
      </c>
      <c r="F30" s="7">
        <v>3.5</v>
      </c>
      <c r="G30" s="7">
        <v>1</v>
      </c>
      <c r="H30" s="7">
        <v>4</v>
      </c>
      <c r="I30" s="7" t="s">
        <v>27</v>
      </c>
      <c r="J30" s="6"/>
    </row>
    <row r="31" ht="43.2" spans="1:10">
      <c r="A31" s="7" t="s">
        <v>31</v>
      </c>
      <c r="B31" s="7" t="s">
        <v>26</v>
      </c>
      <c r="C31" s="7" t="s">
        <v>100</v>
      </c>
      <c r="D31" s="6" t="s">
        <v>351</v>
      </c>
      <c r="E31" s="7">
        <v>1</v>
      </c>
      <c r="F31" s="7">
        <v>4</v>
      </c>
      <c r="G31" s="7">
        <v>1</v>
      </c>
      <c r="H31" s="7">
        <v>4</v>
      </c>
      <c r="I31" s="7" t="s">
        <v>27</v>
      </c>
      <c r="J31" s="6"/>
    </row>
    <row r="32" ht="43.2" spans="1:10">
      <c r="A32" s="7" t="s">
        <v>31</v>
      </c>
      <c r="B32" s="7" t="s">
        <v>26</v>
      </c>
      <c r="C32" s="7" t="s">
        <v>106</v>
      </c>
      <c r="D32" s="6" t="s">
        <v>358</v>
      </c>
      <c r="E32" s="7">
        <v>1</v>
      </c>
      <c r="F32" s="7">
        <v>4</v>
      </c>
      <c r="G32" s="7">
        <v>0</v>
      </c>
      <c r="H32" s="7">
        <v>4</v>
      </c>
      <c r="I32" s="7" t="s">
        <v>27</v>
      </c>
      <c r="J32" s="6"/>
    </row>
    <row r="33" ht="43.2" spans="1:10">
      <c r="A33" s="7" t="s">
        <v>31</v>
      </c>
      <c r="B33" s="7" t="s">
        <v>26</v>
      </c>
      <c r="C33" s="7" t="s">
        <v>113</v>
      </c>
      <c r="D33" s="6" t="s">
        <v>366</v>
      </c>
      <c r="E33" s="7">
        <v>0.917</v>
      </c>
      <c r="F33" s="7">
        <v>3</v>
      </c>
      <c r="G33" s="7">
        <v>1</v>
      </c>
      <c r="H33" s="7">
        <v>4</v>
      </c>
      <c r="I33" s="7" t="s">
        <v>27</v>
      </c>
      <c r="J33" s="6" t="s">
        <v>492</v>
      </c>
    </row>
    <row r="34" ht="43.2" spans="1:10">
      <c r="A34" s="7" t="s">
        <v>31</v>
      </c>
      <c r="B34" s="7" t="s">
        <v>26</v>
      </c>
      <c r="C34" s="7" t="s">
        <v>119</v>
      </c>
      <c r="D34" s="6" t="s">
        <v>372</v>
      </c>
      <c r="E34" s="7">
        <v>1</v>
      </c>
      <c r="F34" s="7">
        <v>3.5</v>
      </c>
      <c r="G34" s="7">
        <v>1</v>
      </c>
      <c r="H34" s="7">
        <v>4</v>
      </c>
      <c r="I34" s="7" t="s">
        <v>27</v>
      </c>
      <c r="J34" s="6"/>
    </row>
    <row r="35" ht="43.2" spans="1:10">
      <c r="A35" s="7" t="s">
        <v>31</v>
      </c>
      <c r="B35" s="7" t="s">
        <v>26</v>
      </c>
      <c r="C35" s="7" t="s">
        <v>122</v>
      </c>
      <c r="D35" s="6" t="s">
        <v>376</v>
      </c>
      <c r="E35" s="7">
        <v>1</v>
      </c>
      <c r="F35" s="7">
        <v>3</v>
      </c>
      <c r="G35" s="7">
        <v>1</v>
      </c>
      <c r="H35" s="7">
        <v>4</v>
      </c>
      <c r="I35" s="7" t="s">
        <v>27</v>
      </c>
      <c r="J35" s="6"/>
    </row>
    <row r="36" ht="43.2" spans="1:10">
      <c r="A36" s="7" t="s">
        <v>31</v>
      </c>
      <c r="B36" s="7" t="s">
        <v>26</v>
      </c>
      <c r="C36" s="7" t="s">
        <v>141</v>
      </c>
      <c r="D36" s="6" t="s">
        <v>387</v>
      </c>
      <c r="E36" s="7">
        <v>1</v>
      </c>
      <c r="F36" s="7">
        <v>3</v>
      </c>
      <c r="G36" s="7">
        <v>0.25</v>
      </c>
      <c r="H36" s="7">
        <v>4</v>
      </c>
      <c r="I36" s="7" t="s">
        <v>27</v>
      </c>
      <c r="J36" s="6"/>
    </row>
    <row r="37" ht="43.2" spans="1:10">
      <c r="A37" s="7" t="s">
        <v>31</v>
      </c>
      <c r="B37" s="7" t="s">
        <v>26</v>
      </c>
      <c r="C37" s="7" t="s">
        <v>144</v>
      </c>
      <c r="D37" s="6" t="s">
        <v>391</v>
      </c>
      <c r="E37" s="7">
        <v>1</v>
      </c>
      <c r="F37" s="7">
        <v>4</v>
      </c>
      <c r="G37" s="7">
        <v>0</v>
      </c>
      <c r="H37" s="7">
        <v>3</v>
      </c>
      <c r="I37" s="7" t="s">
        <v>27</v>
      </c>
      <c r="J37" s="6"/>
    </row>
    <row r="38" ht="43.2" spans="1:10">
      <c r="A38" s="7" t="s">
        <v>31</v>
      </c>
      <c r="B38" s="7" t="s">
        <v>26</v>
      </c>
      <c r="C38" s="7" t="s">
        <v>147</v>
      </c>
      <c r="D38" s="6" t="s">
        <v>395</v>
      </c>
      <c r="E38" s="7">
        <v>1</v>
      </c>
      <c r="F38" s="7">
        <v>3.5</v>
      </c>
      <c r="G38" s="7">
        <v>1</v>
      </c>
      <c r="H38" s="7">
        <v>4</v>
      </c>
      <c r="I38" s="7" t="s">
        <v>27</v>
      </c>
      <c r="J38" s="6" t="s">
        <v>493</v>
      </c>
    </row>
    <row r="39" ht="28.8" spans="1:10">
      <c r="A39" s="7" t="s">
        <v>31</v>
      </c>
      <c r="B39" s="7" t="s">
        <v>26</v>
      </c>
      <c r="C39" s="7" t="s">
        <v>150</v>
      </c>
      <c r="D39" s="6" t="s">
        <v>399</v>
      </c>
      <c r="E39" s="7">
        <v>1</v>
      </c>
      <c r="F39" s="7">
        <v>3</v>
      </c>
      <c r="G39" s="7">
        <v>1</v>
      </c>
      <c r="H39" s="7">
        <v>4</v>
      </c>
      <c r="I39" s="7" t="s">
        <v>27</v>
      </c>
      <c r="J39" s="6"/>
    </row>
    <row r="40" ht="43.2" spans="1:10">
      <c r="A40" s="7" t="s">
        <v>31</v>
      </c>
      <c r="B40" s="7" t="s">
        <v>26</v>
      </c>
      <c r="C40" s="7" t="s">
        <v>153</v>
      </c>
      <c r="D40" s="6" t="s">
        <v>403</v>
      </c>
      <c r="E40" s="7">
        <v>1</v>
      </c>
      <c r="F40" s="7">
        <v>4</v>
      </c>
      <c r="G40" s="7">
        <v>0.25</v>
      </c>
      <c r="H40" s="7">
        <v>4</v>
      </c>
      <c r="I40" s="7" t="s">
        <v>27</v>
      </c>
      <c r="J40" s="6"/>
    </row>
    <row r="41" ht="43.2" spans="1:10">
      <c r="A41" s="7" t="s">
        <v>31</v>
      </c>
      <c r="B41" s="7" t="s">
        <v>26</v>
      </c>
      <c r="C41" s="7" t="s">
        <v>162</v>
      </c>
      <c r="D41" s="6" t="s">
        <v>409</v>
      </c>
      <c r="E41" s="7">
        <v>1</v>
      </c>
      <c r="F41" s="7">
        <v>4</v>
      </c>
      <c r="G41" s="7">
        <v>0</v>
      </c>
      <c r="H41" s="7">
        <v>4</v>
      </c>
      <c r="I41" s="7" t="s">
        <v>27</v>
      </c>
      <c r="J41" s="6"/>
    </row>
    <row r="42" ht="43.2" spans="1:10">
      <c r="A42" s="7" t="s">
        <v>31</v>
      </c>
      <c r="B42" s="7" t="s">
        <v>26</v>
      </c>
      <c r="C42" s="7" t="s">
        <v>165</v>
      </c>
      <c r="D42" s="6" t="s">
        <v>413</v>
      </c>
      <c r="E42" s="7">
        <v>1</v>
      </c>
      <c r="F42" s="7">
        <v>4</v>
      </c>
      <c r="G42" s="7">
        <v>1</v>
      </c>
      <c r="H42" s="7">
        <v>4</v>
      </c>
      <c r="I42" s="7" t="s">
        <v>27</v>
      </c>
      <c r="J42" s="6"/>
    </row>
    <row r="43" ht="57.6" spans="1:10">
      <c r="A43" s="7" t="s">
        <v>31</v>
      </c>
      <c r="B43" s="7" t="s">
        <v>26</v>
      </c>
      <c r="C43" s="7" t="s">
        <v>168</v>
      </c>
      <c r="D43" s="6" t="s">
        <v>417</v>
      </c>
      <c r="E43" s="7">
        <v>1</v>
      </c>
      <c r="F43" s="7">
        <v>4</v>
      </c>
      <c r="G43" s="7">
        <v>1</v>
      </c>
      <c r="H43" s="7">
        <v>3</v>
      </c>
      <c r="I43" s="7" t="s">
        <v>27</v>
      </c>
      <c r="J43" s="6"/>
    </row>
    <row r="44" ht="43.2" spans="1:10">
      <c r="A44" s="7" t="s">
        <v>31</v>
      </c>
      <c r="B44" s="7" t="s">
        <v>26</v>
      </c>
      <c r="C44" s="7" t="s">
        <v>33</v>
      </c>
      <c r="D44" s="6" t="s">
        <v>427</v>
      </c>
      <c r="E44" s="7">
        <v>1</v>
      </c>
      <c r="F44" s="7">
        <v>4</v>
      </c>
      <c r="G44" s="7">
        <v>0</v>
      </c>
      <c r="H44" s="7">
        <v>4</v>
      </c>
      <c r="I44" s="7" t="s">
        <v>27</v>
      </c>
      <c r="J44" s="6"/>
    </row>
    <row r="45" ht="28.8" spans="1:10">
      <c r="A45" s="7" t="s">
        <v>31</v>
      </c>
      <c r="B45" s="7" t="s">
        <v>26</v>
      </c>
      <c r="C45" s="7" t="s">
        <v>35</v>
      </c>
      <c r="D45" s="6" t="s">
        <v>433</v>
      </c>
      <c r="E45" s="7">
        <v>1</v>
      </c>
      <c r="F45" s="7">
        <v>3</v>
      </c>
      <c r="G45" s="7">
        <v>1</v>
      </c>
      <c r="H45" s="7">
        <v>4</v>
      </c>
      <c r="I45" s="7" t="s">
        <v>27</v>
      </c>
      <c r="J45" s="6"/>
    </row>
    <row r="46" ht="43.2" spans="1:10">
      <c r="A46" s="7" t="s">
        <v>31</v>
      </c>
      <c r="B46" s="7" t="s">
        <v>26</v>
      </c>
      <c r="C46" s="7" t="s">
        <v>189</v>
      </c>
      <c r="D46" s="6" t="s">
        <v>439</v>
      </c>
      <c r="E46" s="7">
        <v>1</v>
      </c>
      <c r="F46" s="7">
        <v>3</v>
      </c>
      <c r="G46" s="7">
        <v>1</v>
      </c>
      <c r="H46" s="7">
        <v>3</v>
      </c>
      <c r="I46" s="7" t="s">
        <v>86</v>
      </c>
      <c r="J46" s="6" t="s">
        <v>494</v>
      </c>
    </row>
    <row r="47" ht="28.8" spans="1:10">
      <c r="A47" s="7" t="s">
        <v>31</v>
      </c>
      <c r="B47" s="7" t="s">
        <v>26</v>
      </c>
      <c r="C47" s="7" t="s">
        <v>192</v>
      </c>
      <c r="D47" s="6" t="s">
        <v>442</v>
      </c>
      <c r="E47" s="7">
        <v>1</v>
      </c>
      <c r="F47" s="7">
        <v>4</v>
      </c>
      <c r="G47" s="7">
        <v>1</v>
      </c>
      <c r="H47" s="7">
        <v>4</v>
      </c>
      <c r="I47" s="7" t="s">
        <v>27</v>
      </c>
      <c r="J47" s="6"/>
    </row>
    <row r="48" ht="43.2" spans="1:10">
      <c r="A48" s="7" t="s">
        <v>32</v>
      </c>
      <c r="B48" s="7" t="s">
        <v>26</v>
      </c>
      <c r="C48" s="7" t="s">
        <v>54</v>
      </c>
      <c r="D48" s="6" t="s">
        <v>306</v>
      </c>
      <c r="E48" s="7">
        <v>1</v>
      </c>
      <c r="F48" s="7">
        <v>4</v>
      </c>
      <c r="G48" s="7">
        <v>0</v>
      </c>
      <c r="H48" s="7">
        <v>4</v>
      </c>
      <c r="I48" s="7" t="s">
        <v>27</v>
      </c>
      <c r="J48" s="6"/>
    </row>
    <row r="49" ht="28.8" spans="1:10">
      <c r="A49" s="7" t="s">
        <v>32</v>
      </c>
      <c r="B49" s="7" t="s">
        <v>26</v>
      </c>
      <c r="C49" s="7" t="s">
        <v>67</v>
      </c>
      <c r="D49" s="6" t="s">
        <v>319</v>
      </c>
      <c r="E49" s="7">
        <v>1</v>
      </c>
      <c r="F49" s="7">
        <v>3</v>
      </c>
      <c r="G49" s="7">
        <v>1</v>
      </c>
      <c r="H49" s="7">
        <v>4</v>
      </c>
      <c r="I49" s="7" t="s">
        <v>27</v>
      </c>
      <c r="J49" s="6"/>
    </row>
    <row r="50" ht="43.2" spans="1:10">
      <c r="A50" s="7" t="s">
        <v>32</v>
      </c>
      <c r="B50" s="7" t="s">
        <v>26</v>
      </c>
      <c r="C50" s="7" t="s">
        <v>77</v>
      </c>
      <c r="D50" s="6" t="s">
        <v>328</v>
      </c>
      <c r="E50" s="7">
        <v>1</v>
      </c>
      <c r="F50" s="7">
        <v>4</v>
      </c>
      <c r="G50" s="7">
        <v>0</v>
      </c>
      <c r="H50" s="7">
        <v>4</v>
      </c>
      <c r="I50" s="7" t="s">
        <v>27</v>
      </c>
      <c r="J50" s="6"/>
    </row>
    <row r="51" ht="43.2" spans="1:10">
      <c r="A51" s="7" t="s">
        <v>32</v>
      </c>
      <c r="B51" s="7" t="s">
        <v>26</v>
      </c>
      <c r="C51" s="7" t="s">
        <v>83</v>
      </c>
      <c r="D51" s="6" t="s">
        <v>335</v>
      </c>
      <c r="E51" s="7">
        <v>1</v>
      </c>
      <c r="F51" s="7">
        <v>3</v>
      </c>
      <c r="G51" s="7">
        <v>1</v>
      </c>
      <c r="H51" s="7">
        <v>4</v>
      </c>
      <c r="I51" s="7" t="s">
        <v>27</v>
      </c>
      <c r="J51" s="6"/>
    </row>
    <row r="52" ht="28.8" spans="1:10">
      <c r="A52" s="7" t="s">
        <v>32</v>
      </c>
      <c r="B52" s="7" t="s">
        <v>26</v>
      </c>
      <c r="C52" s="7" t="s">
        <v>94</v>
      </c>
      <c r="D52" s="6" t="s">
        <v>342</v>
      </c>
      <c r="E52" s="7">
        <v>1</v>
      </c>
      <c r="F52" s="7">
        <v>4</v>
      </c>
      <c r="G52" s="7">
        <v>0</v>
      </c>
      <c r="H52" s="7">
        <v>4</v>
      </c>
      <c r="I52" s="7" t="s">
        <v>27</v>
      </c>
      <c r="J52" s="6"/>
    </row>
    <row r="53" ht="28.8" spans="1:10">
      <c r="A53" s="7" t="s">
        <v>32</v>
      </c>
      <c r="B53" s="7" t="s">
        <v>26</v>
      </c>
      <c r="C53" s="7" t="s">
        <v>97</v>
      </c>
      <c r="D53" s="6" t="s">
        <v>347</v>
      </c>
      <c r="E53" s="7">
        <v>1</v>
      </c>
      <c r="F53" s="7">
        <v>3.5</v>
      </c>
      <c r="G53" s="7">
        <v>1</v>
      </c>
      <c r="H53" s="7">
        <v>4</v>
      </c>
      <c r="I53" s="7" t="s">
        <v>27</v>
      </c>
      <c r="J53" s="6" t="s">
        <v>495</v>
      </c>
    </row>
    <row r="54" ht="43.2" spans="1:10">
      <c r="A54" s="7" t="s">
        <v>32</v>
      </c>
      <c r="B54" s="7" t="s">
        <v>26</v>
      </c>
      <c r="C54" s="7" t="s">
        <v>100</v>
      </c>
      <c r="D54" s="6" t="s">
        <v>351</v>
      </c>
      <c r="E54" s="7">
        <v>1</v>
      </c>
      <c r="F54" s="7">
        <v>4</v>
      </c>
      <c r="G54" s="7">
        <v>1</v>
      </c>
      <c r="H54" s="7">
        <v>4</v>
      </c>
      <c r="I54" s="7" t="s">
        <v>27</v>
      </c>
      <c r="J54" s="6"/>
    </row>
    <row r="55" ht="43.2" spans="1:10">
      <c r="A55" s="7" t="s">
        <v>32</v>
      </c>
      <c r="B55" s="7" t="s">
        <v>26</v>
      </c>
      <c r="C55" s="7" t="s">
        <v>106</v>
      </c>
      <c r="D55" s="6" t="s">
        <v>358</v>
      </c>
      <c r="E55" s="7">
        <v>1</v>
      </c>
      <c r="F55" s="7">
        <v>4</v>
      </c>
      <c r="G55" s="7">
        <v>0</v>
      </c>
      <c r="H55" s="7">
        <v>4</v>
      </c>
      <c r="I55" s="7" t="s">
        <v>27</v>
      </c>
      <c r="J55" s="6"/>
    </row>
    <row r="56" ht="43.2" spans="1:10">
      <c r="A56" s="7" t="s">
        <v>32</v>
      </c>
      <c r="B56" s="7" t="s">
        <v>26</v>
      </c>
      <c r="C56" s="7" t="s">
        <v>113</v>
      </c>
      <c r="D56" s="6" t="s">
        <v>366</v>
      </c>
      <c r="E56" s="7">
        <v>0.917</v>
      </c>
      <c r="F56" s="7">
        <v>3</v>
      </c>
      <c r="G56" s="7">
        <v>1</v>
      </c>
      <c r="H56" s="7">
        <v>3</v>
      </c>
      <c r="I56" s="7" t="s">
        <v>27</v>
      </c>
      <c r="J56" s="6"/>
    </row>
    <row r="57" ht="43.2" spans="1:10">
      <c r="A57" s="7" t="s">
        <v>32</v>
      </c>
      <c r="B57" s="7" t="s">
        <v>26</v>
      </c>
      <c r="C57" s="7" t="s">
        <v>119</v>
      </c>
      <c r="D57" s="6" t="s">
        <v>372</v>
      </c>
      <c r="E57" s="7">
        <v>1</v>
      </c>
      <c r="F57" s="7">
        <v>3.5</v>
      </c>
      <c r="G57" s="7">
        <v>1</v>
      </c>
      <c r="H57" s="7">
        <v>4</v>
      </c>
      <c r="I57" s="7" t="s">
        <v>27</v>
      </c>
      <c r="J57" s="6"/>
    </row>
    <row r="58" ht="43.2" spans="1:10">
      <c r="A58" s="7" t="s">
        <v>32</v>
      </c>
      <c r="B58" s="7" t="s">
        <v>26</v>
      </c>
      <c r="C58" s="7" t="s">
        <v>122</v>
      </c>
      <c r="D58" s="6" t="s">
        <v>376</v>
      </c>
      <c r="E58" s="7">
        <v>1</v>
      </c>
      <c r="F58" s="7">
        <v>3</v>
      </c>
      <c r="G58" s="7">
        <v>1</v>
      </c>
      <c r="H58" s="7">
        <v>4</v>
      </c>
      <c r="I58" s="7" t="s">
        <v>27</v>
      </c>
      <c r="J58" s="6"/>
    </row>
    <row r="59" ht="43.2" spans="1:10">
      <c r="A59" s="7" t="s">
        <v>32</v>
      </c>
      <c r="B59" s="7" t="s">
        <v>26</v>
      </c>
      <c r="C59" s="7" t="s">
        <v>141</v>
      </c>
      <c r="D59" s="6" t="s">
        <v>387</v>
      </c>
      <c r="E59" s="7">
        <v>1</v>
      </c>
      <c r="F59" s="7">
        <v>3</v>
      </c>
      <c r="G59" s="7">
        <v>0.25</v>
      </c>
      <c r="H59" s="7">
        <v>4</v>
      </c>
      <c r="I59" s="7" t="s">
        <v>27</v>
      </c>
      <c r="J59" s="6"/>
    </row>
    <row r="60" ht="43.2" spans="1:10">
      <c r="A60" s="7" t="s">
        <v>32</v>
      </c>
      <c r="B60" s="7" t="s">
        <v>26</v>
      </c>
      <c r="C60" s="7" t="s">
        <v>144</v>
      </c>
      <c r="D60" s="6" t="s">
        <v>391</v>
      </c>
      <c r="E60" s="7">
        <v>1</v>
      </c>
      <c r="F60" s="7">
        <v>4</v>
      </c>
      <c r="G60" s="7">
        <v>0</v>
      </c>
      <c r="H60" s="7">
        <v>4</v>
      </c>
      <c r="I60" s="7" t="s">
        <v>27</v>
      </c>
      <c r="J60" s="6" t="s">
        <v>496</v>
      </c>
    </row>
    <row r="61" ht="43.2" spans="1:10">
      <c r="A61" s="7" t="s">
        <v>32</v>
      </c>
      <c r="B61" s="7" t="s">
        <v>26</v>
      </c>
      <c r="C61" s="7" t="s">
        <v>147</v>
      </c>
      <c r="D61" s="6" t="s">
        <v>395</v>
      </c>
      <c r="E61" s="7">
        <v>1</v>
      </c>
      <c r="F61" s="7">
        <v>3.5</v>
      </c>
      <c r="G61" s="7">
        <v>1</v>
      </c>
      <c r="H61" s="7">
        <v>3</v>
      </c>
      <c r="I61" s="7" t="s">
        <v>27</v>
      </c>
      <c r="J61" s="6"/>
    </row>
    <row r="62" ht="28.8" spans="1:10">
      <c r="A62" s="7" t="s">
        <v>32</v>
      </c>
      <c r="B62" s="7" t="s">
        <v>26</v>
      </c>
      <c r="C62" s="7" t="s">
        <v>150</v>
      </c>
      <c r="D62" s="6" t="s">
        <v>399</v>
      </c>
      <c r="E62" s="7">
        <v>1</v>
      </c>
      <c r="F62" s="7">
        <v>3</v>
      </c>
      <c r="G62" s="7">
        <v>1</v>
      </c>
      <c r="H62" s="7">
        <v>4</v>
      </c>
      <c r="I62" s="7" t="s">
        <v>27</v>
      </c>
      <c r="J62" s="6"/>
    </row>
    <row r="63" ht="43.2" spans="1:10">
      <c r="A63" s="7" t="s">
        <v>32</v>
      </c>
      <c r="B63" s="7" t="s">
        <v>26</v>
      </c>
      <c r="C63" s="7" t="s">
        <v>153</v>
      </c>
      <c r="D63" s="6" t="s">
        <v>403</v>
      </c>
      <c r="E63" s="7">
        <v>1</v>
      </c>
      <c r="F63" s="7">
        <v>4</v>
      </c>
      <c r="G63" s="7">
        <v>0.25</v>
      </c>
      <c r="H63" s="7">
        <v>4</v>
      </c>
      <c r="I63" s="7" t="s">
        <v>27</v>
      </c>
      <c r="J63" s="6"/>
    </row>
    <row r="64" ht="43.2" spans="1:10">
      <c r="A64" s="7" t="s">
        <v>32</v>
      </c>
      <c r="B64" s="7" t="s">
        <v>26</v>
      </c>
      <c r="C64" s="7" t="s">
        <v>162</v>
      </c>
      <c r="D64" s="6" t="s">
        <v>409</v>
      </c>
      <c r="E64" s="7">
        <v>1</v>
      </c>
      <c r="F64" s="7">
        <v>4</v>
      </c>
      <c r="G64" s="7">
        <v>0</v>
      </c>
      <c r="H64" s="7">
        <v>4</v>
      </c>
      <c r="I64" s="7" t="s">
        <v>27</v>
      </c>
      <c r="J64" s="6"/>
    </row>
    <row r="65" ht="43.2" spans="1:10">
      <c r="A65" s="7" t="s">
        <v>32</v>
      </c>
      <c r="B65" s="7" t="s">
        <v>26</v>
      </c>
      <c r="C65" s="7" t="s">
        <v>165</v>
      </c>
      <c r="D65" s="6" t="s">
        <v>413</v>
      </c>
      <c r="E65" s="7">
        <v>1</v>
      </c>
      <c r="F65" s="7">
        <v>4</v>
      </c>
      <c r="G65" s="7">
        <v>1</v>
      </c>
      <c r="H65" s="7">
        <v>4</v>
      </c>
      <c r="I65" s="7" t="s">
        <v>27</v>
      </c>
      <c r="J65" s="6"/>
    </row>
    <row r="66" ht="57.6" spans="1:10">
      <c r="A66" s="7" t="s">
        <v>32</v>
      </c>
      <c r="B66" s="7" t="s">
        <v>26</v>
      </c>
      <c r="C66" s="7" t="s">
        <v>168</v>
      </c>
      <c r="D66" s="6" t="s">
        <v>417</v>
      </c>
      <c r="E66" s="7">
        <v>1</v>
      </c>
      <c r="F66" s="7">
        <v>4</v>
      </c>
      <c r="G66" s="7">
        <v>1</v>
      </c>
      <c r="H66" s="7">
        <v>3</v>
      </c>
      <c r="I66" s="7" t="s">
        <v>27</v>
      </c>
      <c r="J66" s="6"/>
    </row>
    <row r="67" ht="43.2" spans="1:10">
      <c r="A67" s="7" t="s">
        <v>32</v>
      </c>
      <c r="B67" s="7" t="s">
        <v>26</v>
      </c>
      <c r="C67" s="7" t="s">
        <v>33</v>
      </c>
      <c r="D67" s="6" t="s">
        <v>427</v>
      </c>
      <c r="E67" s="7">
        <v>1</v>
      </c>
      <c r="F67" s="7">
        <v>4</v>
      </c>
      <c r="G67" s="7">
        <v>0</v>
      </c>
      <c r="H67" s="7">
        <v>4</v>
      </c>
      <c r="I67" s="7" t="s">
        <v>27</v>
      </c>
      <c r="J67" s="6"/>
    </row>
    <row r="68" ht="28.8" spans="1:10">
      <c r="A68" s="7" t="s">
        <v>32</v>
      </c>
      <c r="B68" s="7" t="s">
        <v>26</v>
      </c>
      <c r="C68" s="7" t="s">
        <v>35</v>
      </c>
      <c r="D68" s="6" t="s">
        <v>433</v>
      </c>
      <c r="E68" s="7">
        <v>1</v>
      </c>
      <c r="F68" s="7">
        <v>3</v>
      </c>
      <c r="G68" s="7">
        <v>1</v>
      </c>
      <c r="H68" s="7">
        <v>4</v>
      </c>
      <c r="I68" s="7" t="s">
        <v>27</v>
      </c>
      <c r="J68" s="6" t="s">
        <v>497</v>
      </c>
    </row>
    <row r="69" ht="43.2" spans="1:10">
      <c r="A69" s="7" t="s">
        <v>32</v>
      </c>
      <c r="B69" s="7" t="s">
        <v>26</v>
      </c>
      <c r="C69" s="7" t="s">
        <v>189</v>
      </c>
      <c r="D69" s="6" t="s">
        <v>439</v>
      </c>
      <c r="E69" s="7">
        <v>1</v>
      </c>
      <c r="F69" s="7">
        <v>3</v>
      </c>
      <c r="G69" s="7">
        <v>1</v>
      </c>
      <c r="H69" s="7">
        <v>3</v>
      </c>
      <c r="I69" s="7" t="s">
        <v>86</v>
      </c>
      <c r="J69" s="6" t="s">
        <v>498</v>
      </c>
    </row>
    <row r="70" ht="28.8" spans="1:10">
      <c r="A70" s="7" t="s">
        <v>32</v>
      </c>
      <c r="B70" s="7" t="s">
        <v>26</v>
      </c>
      <c r="C70" s="7" t="s">
        <v>192</v>
      </c>
      <c r="D70" s="6" t="s">
        <v>442</v>
      </c>
      <c r="E70" s="7">
        <v>1</v>
      </c>
      <c r="F70" s="7">
        <v>4</v>
      </c>
      <c r="G70" s="7">
        <v>1</v>
      </c>
      <c r="H70" s="7">
        <v>4</v>
      </c>
      <c r="I70" s="7" t="s">
        <v>27</v>
      </c>
      <c r="J70" s="6"/>
    </row>
    <row r="71" ht="43.2" spans="1:10">
      <c r="A71" s="7" t="s">
        <v>33</v>
      </c>
      <c r="B71" s="7" t="s">
        <v>26</v>
      </c>
      <c r="C71" s="7" t="s">
        <v>54</v>
      </c>
      <c r="D71" s="6" t="s">
        <v>306</v>
      </c>
      <c r="E71" s="7">
        <v>1</v>
      </c>
      <c r="F71" s="7">
        <v>4</v>
      </c>
      <c r="G71" s="7">
        <v>0</v>
      </c>
      <c r="H71" s="7">
        <v>4</v>
      </c>
      <c r="I71" s="7" t="s">
        <v>27</v>
      </c>
      <c r="J71" s="6"/>
    </row>
    <row r="72" ht="28.8" spans="1:10">
      <c r="A72" s="7" t="s">
        <v>33</v>
      </c>
      <c r="B72" s="7" t="s">
        <v>26</v>
      </c>
      <c r="C72" s="7" t="s">
        <v>67</v>
      </c>
      <c r="D72" s="6" t="s">
        <v>319</v>
      </c>
      <c r="E72" s="7">
        <v>1</v>
      </c>
      <c r="F72" s="7">
        <v>3</v>
      </c>
      <c r="G72" s="7">
        <v>1</v>
      </c>
      <c r="H72" s="7">
        <v>4</v>
      </c>
      <c r="I72" s="7" t="s">
        <v>27</v>
      </c>
      <c r="J72" s="6"/>
    </row>
    <row r="73" ht="43.2" spans="1:10">
      <c r="A73" s="7" t="s">
        <v>33</v>
      </c>
      <c r="B73" s="7" t="s">
        <v>26</v>
      </c>
      <c r="C73" s="7" t="s">
        <v>77</v>
      </c>
      <c r="D73" s="6" t="s">
        <v>328</v>
      </c>
      <c r="E73" s="7">
        <v>1</v>
      </c>
      <c r="F73" s="7">
        <v>4</v>
      </c>
      <c r="G73" s="7">
        <v>0</v>
      </c>
      <c r="H73" s="7">
        <v>4</v>
      </c>
      <c r="I73" s="7" t="s">
        <v>27</v>
      </c>
      <c r="J73" s="6" t="s">
        <v>499</v>
      </c>
    </row>
    <row r="74" ht="43.2" spans="1:10">
      <c r="A74" s="7" t="s">
        <v>33</v>
      </c>
      <c r="B74" s="7" t="s">
        <v>26</v>
      </c>
      <c r="C74" s="7" t="s">
        <v>83</v>
      </c>
      <c r="D74" s="6" t="s">
        <v>335</v>
      </c>
      <c r="E74" s="7">
        <v>1</v>
      </c>
      <c r="F74" s="7">
        <v>3</v>
      </c>
      <c r="G74" s="7">
        <v>1</v>
      </c>
      <c r="H74" s="7">
        <v>4</v>
      </c>
      <c r="I74" s="7" t="s">
        <v>27</v>
      </c>
      <c r="J74" s="6"/>
    </row>
    <row r="75" ht="28.8" spans="1:10">
      <c r="A75" s="7" t="s">
        <v>33</v>
      </c>
      <c r="B75" s="7" t="s">
        <v>26</v>
      </c>
      <c r="C75" s="7" t="s">
        <v>94</v>
      </c>
      <c r="D75" s="6" t="s">
        <v>342</v>
      </c>
      <c r="E75" s="7">
        <v>1</v>
      </c>
      <c r="F75" s="7">
        <v>4</v>
      </c>
      <c r="G75" s="7">
        <v>0</v>
      </c>
      <c r="H75" s="7">
        <v>4</v>
      </c>
      <c r="I75" s="7" t="s">
        <v>27</v>
      </c>
      <c r="J75" s="6" t="s">
        <v>500</v>
      </c>
    </row>
    <row r="76" ht="28.8" spans="1:10">
      <c r="A76" s="7" t="s">
        <v>33</v>
      </c>
      <c r="B76" s="7" t="s">
        <v>26</v>
      </c>
      <c r="C76" s="7" t="s">
        <v>97</v>
      </c>
      <c r="D76" s="6" t="s">
        <v>347</v>
      </c>
      <c r="E76" s="7">
        <v>1</v>
      </c>
      <c r="F76" s="7">
        <v>3.5</v>
      </c>
      <c r="G76" s="7">
        <v>1</v>
      </c>
      <c r="H76" s="7">
        <v>4</v>
      </c>
      <c r="I76" s="7" t="s">
        <v>27</v>
      </c>
      <c r="J76" s="6"/>
    </row>
    <row r="77" ht="43.2" spans="1:10">
      <c r="A77" s="7" t="s">
        <v>33</v>
      </c>
      <c r="B77" s="7" t="s">
        <v>26</v>
      </c>
      <c r="C77" s="7" t="s">
        <v>100</v>
      </c>
      <c r="D77" s="6" t="s">
        <v>351</v>
      </c>
      <c r="E77" s="7">
        <v>1</v>
      </c>
      <c r="F77" s="7">
        <v>4</v>
      </c>
      <c r="G77" s="7">
        <v>1</v>
      </c>
      <c r="H77" s="7">
        <v>4</v>
      </c>
      <c r="I77" s="7" t="s">
        <v>27</v>
      </c>
      <c r="J77" s="6"/>
    </row>
    <row r="78" ht="43.2" spans="1:10">
      <c r="A78" s="7" t="s">
        <v>33</v>
      </c>
      <c r="B78" s="7" t="s">
        <v>26</v>
      </c>
      <c r="C78" s="7" t="s">
        <v>106</v>
      </c>
      <c r="D78" s="6" t="s">
        <v>358</v>
      </c>
      <c r="E78" s="7">
        <v>1</v>
      </c>
      <c r="F78" s="7">
        <v>4</v>
      </c>
      <c r="G78" s="7">
        <v>0</v>
      </c>
      <c r="H78" s="7">
        <v>4</v>
      </c>
      <c r="I78" s="7" t="s">
        <v>27</v>
      </c>
      <c r="J78" s="6"/>
    </row>
    <row r="79" ht="43.2" spans="1:10">
      <c r="A79" s="7" t="s">
        <v>33</v>
      </c>
      <c r="B79" s="7" t="s">
        <v>26</v>
      </c>
      <c r="C79" s="7" t="s">
        <v>113</v>
      </c>
      <c r="D79" s="6" t="s">
        <v>366</v>
      </c>
      <c r="E79" s="7">
        <v>0.917</v>
      </c>
      <c r="F79" s="7">
        <v>3</v>
      </c>
      <c r="G79" s="7">
        <v>1</v>
      </c>
      <c r="H79" s="7">
        <v>3</v>
      </c>
      <c r="I79" s="7" t="s">
        <v>27</v>
      </c>
      <c r="J79" s="6"/>
    </row>
    <row r="80" ht="43.2" spans="1:10">
      <c r="A80" s="7" t="s">
        <v>33</v>
      </c>
      <c r="B80" s="7" t="s">
        <v>26</v>
      </c>
      <c r="C80" s="7" t="s">
        <v>119</v>
      </c>
      <c r="D80" s="6" t="s">
        <v>372</v>
      </c>
      <c r="E80" s="7">
        <v>1</v>
      </c>
      <c r="F80" s="7">
        <v>3.5</v>
      </c>
      <c r="G80" s="7">
        <v>1</v>
      </c>
      <c r="H80" s="7">
        <v>4</v>
      </c>
      <c r="I80" s="7" t="s">
        <v>27</v>
      </c>
      <c r="J80" s="6"/>
    </row>
    <row r="81" ht="43.2" spans="1:10">
      <c r="A81" s="7" t="s">
        <v>33</v>
      </c>
      <c r="B81" s="7" t="s">
        <v>26</v>
      </c>
      <c r="C81" s="7" t="s">
        <v>122</v>
      </c>
      <c r="D81" s="6" t="s">
        <v>376</v>
      </c>
      <c r="E81" s="7">
        <v>1</v>
      </c>
      <c r="F81" s="7">
        <v>3</v>
      </c>
      <c r="G81" s="7">
        <v>1</v>
      </c>
      <c r="H81" s="7">
        <v>4</v>
      </c>
      <c r="I81" s="7" t="s">
        <v>27</v>
      </c>
      <c r="J81" s="6"/>
    </row>
    <row r="82" ht="43.2" spans="1:10">
      <c r="A82" s="7" t="s">
        <v>33</v>
      </c>
      <c r="B82" s="7" t="s">
        <v>26</v>
      </c>
      <c r="C82" s="7" t="s">
        <v>141</v>
      </c>
      <c r="D82" s="6" t="s">
        <v>387</v>
      </c>
      <c r="E82" s="7">
        <v>1</v>
      </c>
      <c r="F82" s="7">
        <v>3</v>
      </c>
      <c r="G82" s="7">
        <v>0.25</v>
      </c>
      <c r="H82" s="7">
        <v>4</v>
      </c>
      <c r="I82" s="7" t="s">
        <v>27</v>
      </c>
      <c r="J82" s="6"/>
    </row>
    <row r="83" ht="43.2" spans="1:10">
      <c r="A83" s="7" t="s">
        <v>33</v>
      </c>
      <c r="B83" s="7" t="s">
        <v>26</v>
      </c>
      <c r="C83" s="7" t="s">
        <v>144</v>
      </c>
      <c r="D83" s="6" t="s">
        <v>391</v>
      </c>
      <c r="E83" s="7">
        <v>1</v>
      </c>
      <c r="F83" s="7">
        <v>4</v>
      </c>
      <c r="G83" s="7">
        <v>0</v>
      </c>
      <c r="H83" s="7">
        <v>4</v>
      </c>
      <c r="I83" s="7" t="s">
        <v>27</v>
      </c>
      <c r="J83" s="6"/>
    </row>
    <row r="84" ht="43.2" spans="1:10">
      <c r="A84" s="7" t="s">
        <v>33</v>
      </c>
      <c r="B84" s="7" t="s">
        <v>26</v>
      </c>
      <c r="C84" s="7" t="s">
        <v>147</v>
      </c>
      <c r="D84" s="6" t="s">
        <v>395</v>
      </c>
      <c r="E84" s="7">
        <v>1</v>
      </c>
      <c r="F84" s="7">
        <v>3.5</v>
      </c>
      <c r="G84" s="7">
        <v>1</v>
      </c>
      <c r="H84" s="7">
        <v>3</v>
      </c>
      <c r="I84" s="7" t="s">
        <v>27</v>
      </c>
      <c r="J84" s="6"/>
    </row>
    <row r="85" ht="28.8" spans="1:10">
      <c r="A85" s="7" t="s">
        <v>33</v>
      </c>
      <c r="B85" s="7" t="s">
        <v>26</v>
      </c>
      <c r="C85" s="7" t="s">
        <v>150</v>
      </c>
      <c r="D85" s="6" t="s">
        <v>399</v>
      </c>
      <c r="E85" s="7">
        <v>1</v>
      </c>
      <c r="F85" s="7">
        <v>3</v>
      </c>
      <c r="G85" s="7">
        <v>1</v>
      </c>
      <c r="H85" s="7">
        <v>3</v>
      </c>
      <c r="I85" s="7" t="s">
        <v>27</v>
      </c>
      <c r="J85" s="6"/>
    </row>
    <row r="86" ht="43.2" spans="1:10">
      <c r="A86" s="7" t="s">
        <v>33</v>
      </c>
      <c r="B86" s="7" t="s">
        <v>26</v>
      </c>
      <c r="C86" s="7" t="s">
        <v>153</v>
      </c>
      <c r="D86" s="6" t="s">
        <v>403</v>
      </c>
      <c r="E86" s="7">
        <v>1</v>
      </c>
      <c r="F86" s="7">
        <v>4</v>
      </c>
      <c r="G86" s="7">
        <v>0.25</v>
      </c>
      <c r="H86" s="7">
        <v>4</v>
      </c>
      <c r="I86" s="7" t="s">
        <v>27</v>
      </c>
      <c r="J86" s="6"/>
    </row>
    <row r="87" ht="43.2" spans="1:10">
      <c r="A87" s="7" t="s">
        <v>33</v>
      </c>
      <c r="B87" s="7" t="s">
        <v>26</v>
      </c>
      <c r="C87" s="7" t="s">
        <v>162</v>
      </c>
      <c r="D87" s="6" t="s">
        <v>409</v>
      </c>
      <c r="E87" s="7">
        <v>1</v>
      </c>
      <c r="F87" s="7">
        <v>4</v>
      </c>
      <c r="G87" s="7">
        <v>0</v>
      </c>
      <c r="H87" s="7">
        <v>4</v>
      </c>
      <c r="I87" s="7" t="s">
        <v>27</v>
      </c>
      <c r="J87" s="6"/>
    </row>
    <row r="88" ht="43.2" spans="1:10">
      <c r="A88" s="7" t="s">
        <v>33</v>
      </c>
      <c r="B88" s="7" t="s">
        <v>26</v>
      </c>
      <c r="C88" s="7" t="s">
        <v>165</v>
      </c>
      <c r="D88" s="6" t="s">
        <v>413</v>
      </c>
      <c r="E88" s="7">
        <v>1</v>
      </c>
      <c r="F88" s="7">
        <v>4</v>
      </c>
      <c r="G88" s="7">
        <v>1</v>
      </c>
      <c r="H88" s="7">
        <v>4</v>
      </c>
      <c r="I88" s="7" t="s">
        <v>27</v>
      </c>
      <c r="J88" s="6"/>
    </row>
    <row r="89" ht="57.6" spans="1:10">
      <c r="A89" s="7" t="s">
        <v>33</v>
      </c>
      <c r="B89" s="7" t="s">
        <v>26</v>
      </c>
      <c r="C89" s="7" t="s">
        <v>168</v>
      </c>
      <c r="D89" s="6" t="s">
        <v>417</v>
      </c>
      <c r="E89" s="7">
        <v>1</v>
      </c>
      <c r="F89" s="7">
        <v>4</v>
      </c>
      <c r="G89" s="7">
        <v>1</v>
      </c>
      <c r="H89" s="7">
        <v>4</v>
      </c>
      <c r="I89" s="7" t="s">
        <v>27</v>
      </c>
      <c r="J89" s="6"/>
    </row>
    <row r="90" ht="43.2" spans="1:10">
      <c r="A90" s="7" t="s">
        <v>33</v>
      </c>
      <c r="B90" s="7" t="s">
        <v>26</v>
      </c>
      <c r="C90" s="7" t="s">
        <v>33</v>
      </c>
      <c r="D90" s="6" t="s">
        <v>427</v>
      </c>
      <c r="E90" s="7">
        <v>1</v>
      </c>
      <c r="F90" s="7">
        <v>4</v>
      </c>
      <c r="G90" s="7">
        <v>0</v>
      </c>
      <c r="H90" s="7">
        <v>4</v>
      </c>
      <c r="I90" s="7" t="s">
        <v>27</v>
      </c>
      <c r="J90" s="6" t="s">
        <v>501</v>
      </c>
    </row>
    <row r="91" ht="28.8" spans="1:10">
      <c r="A91" s="7" t="s">
        <v>33</v>
      </c>
      <c r="B91" s="7" t="s">
        <v>26</v>
      </c>
      <c r="C91" s="7" t="s">
        <v>35</v>
      </c>
      <c r="D91" s="6" t="s">
        <v>433</v>
      </c>
      <c r="E91" s="7">
        <v>1</v>
      </c>
      <c r="F91" s="7">
        <v>3</v>
      </c>
      <c r="G91" s="7">
        <v>1</v>
      </c>
      <c r="H91" s="7">
        <v>4</v>
      </c>
      <c r="I91" s="7" t="s">
        <v>27</v>
      </c>
      <c r="J91" s="6"/>
    </row>
    <row r="92" ht="43.2" spans="1:10">
      <c r="A92" s="7" t="s">
        <v>33</v>
      </c>
      <c r="B92" s="7" t="s">
        <v>26</v>
      </c>
      <c r="C92" s="7" t="s">
        <v>189</v>
      </c>
      <c r="D92" s="6" t="s">
        <v>439</v>
      </c>
      <c r="E92" s="7">
        <v>1</v>
      </c>
      <c r="F92" s="7">
        <v>3</v>
      </c>
      <c r="G92" s="7">
        <v>1</v>
      </c>
      <c r="H92" s="7">
        <v>3</v>
      </c>
      <c r="I92" s="7" t="s">
        <v>86</v>
      </c>
      <c r="J92" s="6" t="s">
        <v>502</v>
      </c>
    </row>
    <row r="93" ht="28.8" spans="1:10">
      <c r="A93" s="7" t="s">
        <v>33</v>
      </c>
      <c r="B93" s="7" t="s">
        <v>26</v>
      </c>
      <c r="C93" s="7" t="s">
        <v>192</v>
      </c>
      <c r="D93" s="6" t="s">
        <v>442</v>
      </c>
      <c r="E93" s="7">
        <v>1</v>
      </c>
      <c r="F93" s="7">
        <v>4</v>
      </c>
      <c r="G93" s="7">
        <v>1</v>
      </c>
      <c r="H93" s="7">
        <v>4</v>
      </c>
      <c r="I93" s="7" t="s">
        <v>27</v>
      </c>
      <c r="J93" s="6"/>
    </row>
    <row r="94" ht="43.2" spans="1:10">
      <c r="A94" s="7" t="s">
        <v>34</v>
      </c>
      <c r="B94" s="7" t="s">
        <v>26</v>
      </c>
      <c r="C94" s="7" t="s">
        <v>54</v>
      </c>
      <c r="D94" s="6" t="s">
        <v>306</v>
      </c>
      <c r="E94" s="7">
        <v>1</v>
      </c>
      <c r="F94" s="7">
        <v>4</v>
      </c>
      <c r="G94" s="7">
        <v>0</v>
      </c>
      <c r="H94" s="7">
        <v>4</v>
      </c>
      <c r="I94" s="7" t="s">
        <v>27</v>
      </c>
      <c r="J94" s="6"/>
    </row>
    <row r="95" ht="28.8" spans="1:10">
      <c r="A95" s="7" t="s">
        <v>34</v>
      </c>
      <c r="B95" s="7" t="s">
        <v>26</v>
      </c>
      <c r="C95" s="7" t="s">
        <v>67</v>
      </c>
      <c r="D95" s="6" t="s">
        <v>319</v>
      </c>
      <c r="E95" s="7">
        <v>1</v>
      </c>
      <c r="F95" s="7">
        <v>3</v>
      </c>
      <c r="G95" s="7">
        <v>1</v>
      </c>
      <c r="H95" s="7">
        <v>4</v>
      </c>
      <c r="I95" s="7" t="s">
        <v>27</v>
      </c>
      <c r="J95" s="6"/>
    </row>
    <row r="96" ht="43.2" spans="1:10">
      <c r="A96" s="7" t="s">
        <v>34</v>
      </c>
      <c r="B96" s="7" t="s">
        <v>26</v>
      </c>
      <c r="C96" s="7" t="s">
        <v>77</v>
      </c>
      <c r="D96" s="6" t="s">
        <v>328</v>
      </c>
      <c r="E96" s="7">
        <v>1</v>
      </c>
      <c r="F96" s="7">
        <v>4</v>
      </c>
      <c r="G96" s="7">
        <v>0</v>
      </c>
      <c r="H96" s="7">
        <v>4</v>
      </c>
      <c r="I96" s="7" t="s">
        <v>27</v>
      </c>
      <c r="J96" s="6"/>
    </row>
    <row r="97" ht="43.2" spans="1:10">
      <c r="A97" s="7" t="s">
        <v>34</v>
      </c>
      <c r="B97" s="7" t="s">
        <v>26</v>
      </c>
      <c r="C97" s="7" t="s">
        <v>83</v>
      </c>
      <c r="D97" s="6" t="s">
        <v>335</v>
      </c>
      <c r="E97" s="7">
        <v>1</v>
      </c>
      <c r="F97" s="7">
        <v>3</v>
      </c>
      <c r="G97" s="7">
        <v>1</v>
      </c>
      <c r="H97" s="7">
        <v>3</v>
      </c>
      <c r="I97" s="7" t="s">
        <v>27</v>
      </c>
      <c r="J97" s="6"/>
    </row>
    <row r="98" ht="28.8" spans="1:10">
      <c r="A98" s="7" t="s">
        <v>34</v>
      </c>
      <c r="B98" s="7" t="s">
        <v>26</v>
      </c>
      <c r="C98" s="7" t="s">
        <v>94</v>
      </c>
      <c r="D98" s="6" t="s">
        <v>342</v>
      </c>
      <c r="E98" s="7">
        <v>1</v>
      </c>
      <c r="F98" s="7">
        <v>4</v>
      </c>
      <c r="G98" s="7">
        <v>0</v>
      </c>
      <c r="H98" s="7">
        <v>4</v>
      </c>
      <c r="I98" s="7" t="s">
        <v>27</v>
      </c>
      <c r="J98" s="6"/>
    </row>
    <row r="99" ht="28.8" spans="1:10">
      <c r="A99" s="7" t="s">
        <v>34</v>
      </c>
      <c r="B99" s="7" t="s">
        <v>26</v>
      </c>
      <c r="C99" s="7" t="s">
        <v>97</v>
      </c>
      <c r="D99" s="6" t="s">
        <v>347</v>
      </c>
      <c r="E99" s="7">
        <v>1</v>
      </c>
      <c r="F99" s="7">
        <v>3.5</v>
      </c>
      <c r="G99" s="7">
        <v>1</v>
      </c>
      <c r="H99" s="7">
        <v>4</v>
      </c>
      <c r="I99" s="7" t="s">
        <v>27</v>
      </c>
      <c r="J99" s="6"/>
    </row>
    <row r="100" ht="43.2" spans="1:10">
      <c r="A100" s="7" t="s">
        <v>34</v>
      </c>
      <c r="B100" s="7" t="s">
        <v>26</v>
      </c>
      <c r="C100" s="7" t="s">
        <v>100</v>
      </c>
      <c r="D100" s="6" t="s">
        <v>351</v>
      </c>
      <c r="E100" s="7">
        <v>1</v>
      </c>
      <c r="F100" s="7">
        <v>4</v>
      </c>
      <c r="G100" s="7">
        <v>1</v>
      </c>
      <c r="H100" s="7">
        <v>4</v>
      </c>
      <c r="I100" s="7" t="s">
        <v>27</v>
      </c>
      <c r="J100" s="6" t="s">
        <v>503</v>
      </c>
    </row>
    <row r="101" ht="43.2" spans="1:10">
      <c r="A101" s="7" t="s">
        <v>34</v>
      </c>
      <c r="B101" s="7" t="s">
        <v>26</v>
      </c>
      <c r="C101" s="7" t="s">
        <v>106</v>
      </c>
      <c r="D101" s="6" t="s">
        <v>358</v>
      </c>
      <c r="E101" s="7">
        <v>1</v>
      </c>
      <c r="F101" s="7">
        <v>4</v>
      </c>
      <c r="G101" s="7">
        <v>0</v>
      </c>
      <c r="H101" s="7">
        <v>4</v>
      </c>
      <c r="I101" s="7" t="s">
        <v>27</v>
      </c>
      <c r="J101" s="6"/>
    </row>
    <row r="102" ht="43.2" spans="1:10">
      <c r="A102" s="7" t="s">
        <v>34</v>
      </c>
      <c r="B102" s="7" t="s">
        <v>26</v>
      </c>
      <c r="C102" s="7" t="s">
        <v>113</v>
      </c>
      <c r="D102" s="6" t="s">
        <v>366</v>
      </c>
      <c r="E102" s="7">
        <v>0.917</v>
      </c>
      <c r="F102" s="7">
        <v>3</v>
      </c>
      <c r="G102" s="7">
        <v>1</v>
      </c>
      <c r="H102" s="7">
        <v>3</v>
      </c>
      <c r="I102" s="7" t="s">
        <v>27</v>
      </c>
      <c r="J102" s="6"/>
    </row>
    <row r="103" ht="43.2" spans="1:10">
      <c r="A103" s="7" t="s">
        <v>34</v>
      </c>
      <c r="B103" s="7" t="s">
        <v>26</v>
      </c>
      <c r="C103" s="7" t="s">
        <v>119</v>
      </c>
      <c r="D103" s="6" t="s">
        <v>372</v>
      </c>
      <c r="E103" s="7">
        <v>1</v>
      </c>
      <c r="F103" s="7">
        <v>3.5</v>
      </c>
      <c r="G103" s="7">
        <v>1</v>
      </c>
      <c r="H103" s="7">
        <v>4</v>
      </c>
      <c r="I103" s="7" t="s">
        <v>27</v>
      </c>
      <c r="J103" s="6"/>
    </row>
    <row r="104" ht="43.2" spans="1:10">
      <c r="A104" s="7" t="s">
        <v>34</v>
      </c>
      <c r="B104" s="7" t="s">
        <v>26</v>
      </c>
      <c r="C104" s="7" t="s">
        <v>122</v>
      </c>
      <c r="D104" s="6" t="s">
        <v>376</v>
      </c>
      <c r="E104" s="7">
        <v>1</v>
      </c>
      <c r="F104" s="7">
        <v>3</v>
      </c>
      <c r="G104" s="7">
        <v>1</v>
      </c>
      <c r="H104" s="7">
        <v>4</v>
      </c>
      <c r="I104" s="7" t="s">
        <v>27</v>
      </c>
      <c r="J104" s="6"/>
    </row>
    <row r="105" ht="43.2" spans="1:10">
      <c r="A105" s="7" t="s">
        <v>34</v>
      </c>
      <c r="B105" s="7" t="s">
        <v>26</v>
      </c>
      <c r="C105" s="7" t="s">
        <v>141</v>
      </c>
      <c r="D105" s="6" t="s">
        <v>387</v>
      </c>
      <c r="E105" s="7">
        <v>1</v>
      </c>
      <c r="F105" s="7">
        <v>3</v>
      </c>
      <c r="G105" s="7">
        <v>0.25</v>
      </c>
      <c r="H105" s="7">
        <v>4</v>
      </c>
      <c r="I105" s="7" t="s">
        <v>27</v>
      </c>
      <c r="J105" s="6" t="s">
        <v>504</v>
      </c>
    </row>
    <row r="106" ht="43.2" spans="1:10">
      <c r="A106" s="7" t="s">
        <v>34</v>
      </c>
      <c r="B106" s="7" t="s">
        <v>26</v>
      </c>
      <c r="C106" s="7" t="s">
        <v>144</v>
      </c>
      <c r="D106" s="6" t="s">
        <v>391</v>
      </c>
      <c r="E106" s="7">
        <v>1</v>
      </c>
      <c r="F106" s="7">
        <v>4</v>
      </c>
      <c r="G106" s="7">
        <v>0</v>
      </c>
      <c r="H106" s="7">
        <v>4</v>
      </c>
      <c r="I106" s="7" t="s">
        <v>27</v>
      </c>
      <c r="J106" s="6"/>
    </row>
    <row r="107" ht="43.2" spans="1:10">
      <c r="A107" s="7" t="s">
        <v>34</v>
      </c>
      <c r="B107" s="7" t="s">
        <v>26</v>
      </c>
      <c r="C107" s="7" t="s">
        <v>147</v>
      </c>
      <c r="D107" s="6" t="s">
        <v>395</v>
      </c>
      <c r="E107" s="7">
        <v>1</v>
      </c>
      <c r="F107" s="7">
        <v>3.5</v>
      </c>
      <c r="G107" s="7">
        <v>1</v>
      </c>
      <c r="H107" s="7">
        <v>4</v>
      </c>
      <c r="I107" s="7" t="s">
        <v>27</v>
      </c>
      <c r="J107" s="6"/>
    </row>
    <row r="108" ht="28.8" spans="1:10">
      <c r="A108" s="7" t="s">
        <v>34</v>
      </c>
      <c r="B108" s="7" t="s">
        <v>26</v>
      </c>
      <c r="C108" s="7" t="s">
        <v>150</v>
      </c>
      <c r="D108" s="6" t="s">
        <v>399</v>
      </c>
      <c r="E108" s="7">
        <v>1</v>
      </c>
      <c r="F108" s="7">
        <v>3</v>
      </c>
      <c r="G108" s="7">
        <v>1</v>
      </c>
      <c r="H108" s="7">
        <v>4</v>
      </c>
      <c r="I108" s="7" t="s">
        <v>27</v>
      </c>
      <c r="J108" s="6"/>
    </row>
    <row r="109" ht="43.2" spans="1:10">
      <c r="A109" s="7" t="s">
        <v>34</v>
      </c>
      <c r="B109" s="7" t="s">
        <v>26</v>
      </c>
      <c r="C109" s="7" t="s">
        <v>153</v>
      </c>
      <c r="D109" s="6" t="s">
        <v>403</v>
      </c>
      <c r="E109" s="7">
        <v>1</v>
      </c>
      <c r="F109" s="7">
        <v>4</v>
      </c>
      <c r="G109" s="7">
        <v>0.25</v>
      </c>
      <c r="H109" s="7">
        <v>4</v>
      </c>
      <c r="I109" s="7" t="s">
        <v>27</v>
      </c>
      <c r="J109" s="6"/>
    </row>
    <row r="110" ht="43.2" spans="1:10">
      <c r="A110" s="7" t="s">
        <v>34</v>
      </c>
      <c r="B110" s="7" t="s">
        <v>26</v>
      </c>
      <c r="C110" s="7" t="s">
        <v>162</v>
      </c>
      <c r="D110" s="6" t="s">
        <v>409</v>
      </c>
      <c r="E110" s="7">
        <v>1</v>
      </c>
      <c r="F110" s="7">
        <v>4</v>
      </c>
      <c r="G110" s="7">
        <v>0</v>
      </c>
      <c r="H110" s="7">
        <v>4</v>
      </c>
      <c r="I110" s="7" t="s">
        <v>27</v>
      </c>
      <c r="J110" s="6"/>
    </row>
    <row r="111" ht="43.2" spans="1:10">
      <c r="A111" s="7" t="s">
        <v>34</v>
      </c>
      <c r="B111" s="7" t="s">
        <v>26</v>
      </c>
      <c r="C111" s="7" t="s">
        <v>165</v>
      </c>
      <c r="D111" s="6" t="s">
        <v>413</v>
      </c>
      <c r="E111" s="7">
        <v>1</v>
      </c>
      <c r="F111" s="7">
        <v>4</v>
      </c>
      <c r="G111" s="7">
        <v>1</v>
      </c>
      <c r="H111" s="7">
        <v>4</v>
      </c>
      <c r="I111" s="7" t="s">
        <v>27</v>
      </c>
      <c r="J111" s="6" t="s">
        <v>505</v>
      </c>
    </row>
    <row r="112" ht="57.6" spans="1:10">
      <c r="A112" s="7" t="s">
        <v>34</v>
      </c>
      <c r="B112" s="7" t="s">
        <v>26</v>
      </c>
      <c r="C112" s="7" t="s">
        <v>168</v>
      </c>
      <c r="D112" s="6" t="s">
        <v>417</v>
      </c>
      <c r="E112" s="7">
        <v>1</v>
      </c>
      <c r="F112" s="7">
        <v>4</v>
      </c>
      <c r="G112" s="7">
        <v>1</v>
      </c>
      <c r="H112" s="7">
        <v>3</v>
      </c>
      <c r="I112" s="7" t="s">
        <v>27</v>
      </c>
      <c r="J112" s="6"/>
    </row>
    <row r="113" ht="43.2" spans="1:10">
      <c r="A113" s="7" t="s">
        <v>34</v>
      </c>
      <c r="B113" s="7" t="s">
        <v>26</v>
      </c>
      <c r="C113" s="7" t="s">
        <v>33</v>
      </c>
      <c r="D113" s="6" t="s">
        <v>427</v>
      </c>
      <c r="E113" s="7">
        <v>1</v>
      </c>
      <c r="F113" s="7">
        <v>4</v>
      </c>
      <c r="G113" s="7">
        <v>0</v>
      </c>
      <c r="H113" s="7">
        <v>4</v>
      </c>
      <c r="I113" s="7" t="s">
        <v>27</v>
      </c>
      <c r="J113" s="6"/>
    </row>
    <row r="114" ht="28.8" spans="1:10">
      <c r="A114" s="7" t="s">
        <v>34</v>
      </c>
      <c r="B114" s="7" t="s">
        <v>26</v>
      </c>
      <c r="C114" s="7" t="s">
        <v>35</v>
      </c>
      <c r="D114" s="6" t="s">
        <v>433</v>
      </c>
      <c r="E114" s="7">
        <v>1</v>
      </c>
      <c r="F114" s="7">
        <v>3</v>
      </c>
      <c r="G114" s="7">
        <v>1</v>
      </c>
      <c r="H114" s="7">
        <v>4</v>
      </c>
      <c r="I114" s="7" t="s">
        <v>27</v>
      </c>
      <c r="J114" s="6"/>
    </row>
    <row r="115" ht="43.2" spans="1:10">
      <c r="A115" s="7" t="s">
        <v>34</v>
      </c>
      <c r="B115" s="7" t="s">
        <v>26</v>
      </c>
      <c r="C115" s="7" t="s">
        <v>189</v>
      </c>
      <c r="D115" s="6" t="s">
        <v>439</v>
      </c>
      <c r="E115" s="7">
        <v>1</v>
      </c>
      <c r="F115" s="7">
        <v>3</v>
      </c>
      <c r="G115" s="7">
        <v>1</v>
      </c>
      <c r="H115" s="7">
        <v>3</v>
      </c>
      <c r="I115" s="7" t="s">
        <v>86</v>
      </c>
      <c r="J115" s="6" t="s">
        <v>506</v>
      </c>
    </row>
    <row r="116" ht="28.8" spans="1:10">
      <c r="A116" s="7" t="s">
        <v>34</v>
      </c>
      <c r="B116" s="7" t="s">
        <v>26</v>
      </c>
      <c r="C116" s="7" t="s">
        <v>192</v>
      </c>
      <c r="D116" s="6" t="s">
        <v>442</v>
      </c>
      <c r="E116" s="7">
        <v>1</v>
      </c>
      <c r="F116" s="7">
        <v>4</v>
      </c>
      <c r="G116" s="7">
        <v>1</v>
      </c>
      <c r="H116" s="7">
        <v>4</v>
      </c>
      <c r="I116" s="7" t="s">
        <v>27</v>
      </c>
      <c r="J116" s="6"/>
    </row>
    <row r="117" ht="43.2" spans="1:10">
      <c r="A117" s="7" t="s">
        <v>35</v>
      </c>
      <c r="B117" s="7" t="s">
        <v>26</v>
      </c>
      <c r="C117" s="7" t="s">
        <v>54</v>
      </c>
      <c r="D117" s="6" t="s">
        <v>306</v>
      </c>
      <c r="E117" s="7">
        <v>1</v>
      </c>
      <c r="F117" s="7">
        <v>4</v>
      </c>
      <c r="G117" s="7">
        <v>0</v>
      </c>
      <c r="H117" s="7">
        <v>4</v>
      </c>
      <c r="I117" s="7" t="s">
        <v>27</v>
      </c>
      <c r="J117" s="6" t="s">
        <v>507</v>
      </c>
    </row>
    <row r="118" ht="28.8" spans="1:10">
      <c r="A118" s="7" t="s">
        <v>35</v>
      </c>
      <c r="B118" s="7" t="s">
        <v>26</v>
      </c>
      <c r="C118" s="7" t="s">
        <v>67</v>
      </c>
      <c r="D118" s="6" t="s">
        <v>319</v>
      </c>
      <c r="E118" s="7">
        <v>1</v>
      </c>
      <c r="F118" s="7">
        <v>3</v>
      </c>
      <c r="G118" s="7">
        <v>1</v>
      </c>
      <c r="H118" s="7">
        <v>4</v>
      </c>
      <c r="I118" s="7" t="s">
        <v>27</v>
      </c>
      <c r="J118" s="6"/>
    </row>
    <row r="119" ht="43.2" spans="1:10">
      <c r="A119" s="7" t="s">
        <v>35</v>
      </c>
      <c r="B119" s="7" t="s">
        <v>26</v>
      </c>
      <c r="C119" s="7" t="s">
        <v>77</v>
      </c>
      <c r="D119" s="6" t="s">
        <v>328</v>
      </c>
      <c r="E119" s="7">
        <v>1</v>
      </c>
      <c r="F119" s="7">
        <v>4</v>
      </c>
      <c r="G119" s="7">
        <v>0</v>
      </c>
      <c r="H119" s="7">
        <v>4</v>
      </c>
      <c r="I119" s="7" t="s">
        <v>27</v>
      </c>
      <c r="J119" s="6"/>
    </row>
    <row r="120" ht="43.2" spans="1:10">
      <c r="A120" s="7" t="s">
        <v>35</v>
      </c>
      <c r="B120" s="7" t="s">
        <v>26</v>
      </c>
      <c r="C120" s="7" t="s">
        <v>83</v>
      </c>
      <c r="D120" s="6" t="s">
        <v>335</v>
      </c>
      <c r="E120" s="7">
        <v>1</v>
      </c>
      <c r="F120" s="7">
        <v>3</v>
      </c>
      <c r="G120" s="7">
        <v>1</v>
      </c>
      <c r="H120" s="7">
        <v>3</v>
      </c>
      <c r="I120" s="7" t="s">
        <v>27</v>
      </c>
      <c r="J120" s="6"/>
    </row>
    <row r="121" ht="28.8" spans="1:10">
      <c r="A121" s="7" t="s">
        <v>35</v>
      </c>
      <c r="B121" s="7" t="s">
        <v>26</v>
      </c>
      <c r="C121" s="7" t="s">
        <v>94</v>
      </c>
      <c r="D121" s="6" t="s">
        <v>342</v>
      </c>
      <c r="E121" s="7">
        <v>1</v>
      </c>
      <c r="F121" s="7">
        <v>4</v>
      </c>
      <c r="G121" s="7">
        <v>0</v>
      </c>
      <c r="H121" s="7">
        <v>4</v>
      </c>
      <c r="I121" s="7" t="s">
        <v>27</v>
      </c>
      <c r="J121" s="6"/>
    </row>
    <row r="122" spans="1:10">
      <c r="A122" t="s">
        <v>35</v>
      </c>
      <c r="B122" t="s">
        <v>26</v>
      </c>
      <c r="C122" t="s">
        <v>97</v>
      </c>
      <c r="D122" t="s">
        <v>347</v>
      </c>
      <c r="E122">
        <v>1</v>
      </c>
      <c r="F122">
        <v>3.5</v>
      </c>
      <c r="G122">
        <v>1</v>
      </c>
      <c r="H122">
        <v>4</v>
      </c>
      <c r="I122" t="s">
        <v>27</v>
      </c>
    </row>
    <row r="123" spans="1:10">
      <c r="A123" t="s">
        <v>35</v>
      </c>
      <c r="B123" t="s">
        <v>26</v>
      </c>
      <c r="C123" t="s">
        <v>100</v>
      </c>
      <c r="D123" t="s">
        <v>351</v>
      </c>
      <c r="E123">
        <v>1</v>
      </c>
      <c r="F123">
        <v>4</v>
      </c>
      <c r="G123">
        <v>1</v>
      </c>
      <c r="H123">
        <v>4</v>
      </c>
      <c r="I123" t="s">
        <v>27</v>
      </c>
    </row>
    <row r="124" spans="1:10">
      <c r="A124" t="s">
        <v>35</v>
      </c>
      <c r="B124" t="s">
        <v>26</v>
      </c>
      <c r="C124" t="s">
        <v>106</v>
      </c>
      <c r="D124" t="s">
        <v>358</v>
      </c>
      <c r="E124">
        <v>1</v>
      </c>
      <c r="F124">
        <v>4</v>
      </c>
      <c r="G124">
        <v>0</v>
      </c>
      <c r="H124">
        <v>4</v>
      </c>
      <c r="I124" t="s">
        <v>27</v>
      </c>
    </row>
    <row r="125" spans="1:10">
      <c r="A125" t="s">
        <v>35</v>
      </c>
      <c r="B125" t="s">
        <v>26</v>
      </c>
      <c r="C125" t="s">
        <v>113</v>
      </c>
      <c r="D125" t="s">
        <v>366</v>
      </c>
      <c r="E125">
        <v>0.917</v>
      </c>
      <c r="F125">
        <v>3</v>
      </c>
      <c r="G125">
        <v>1</v>
      </c>
      <c r="H125">
        <v>3</v>
      </c>
      <c r="I125" t="s">
        <v>27</v>
      </c>
    </row>
    <row r="126" spans="1:10">
      <c r="A126" t="s">
        <v>35</v>
      </c>
      <c r="B126" t="s">
        <v>26</v>
      </c>
      <c r="C126" t="s">
        <v>119</v>
      </c>
      <c r="D126" t="s">
        <v>372</v>
      </c>
      <c r="E126">
        <v>1</v>
      </c>
      <c r="F126">
        <v>3.5</v>
      </c>
      <c r="G126">
        <v>1</v>
      </c>
      <c r="H126">
        <v>4</v>
      </c>
      <c r="I126" t="s">
        <v>27</v>
      </c>
    </row>
    <row r="127" spans="1:10">
      <c r="A127" t="s">
        <v>35</v>
      </c>
      <c r="B127" t="s">
        <v>26</v>
      </c>
      <c r="C127" t="s">
        <v>122</v>
      </c>
      <c r="D127" t="s">
        <v>376</v>
      </c>
      <c r="E127">
        <v>1</v>
      </c>
      <c r="F127">
        <v>3</v>
      </c>
      <c r="G127">
        <v>1</v>
      </c>
      <c r="H127">
        <v>4</v>
      </c>
      <c r="I127" t="s">
        <v>27</v>
      </c>
      <c r="J127" t="s">
        <v>508</v>
      </c>
    </row>
    <row r="128" spans="1:10">
      <c r="A128" t="s">
        <v>35</v>
      </c>
      <c r="B128" t="s">
        <v>26</v>
      </c>
      <c r="C128" t="s">
        <v>141</v>
      </c>
      <c r="D128" t="s">
        <v>387</v>
      </c>
      <c r="E128">
        <v>1</v>
      </c>
      <c r="F128">
        <v>3</v>
      </c>
      <c r="G128">
        <v>0.25</v>
      </c>
      <c r="H128">
        <v>4</v>
      </c>
      <c r="I128" t="s">
        <v>27</v>
      </c>
    </row>
    <row r="129" spans="1:10">
      <c r="A129" t="s">
        <v>35</v>
      </c>
      <c r="B129" t="s">
        <v>26</v>
      </c>
      <c r="C129" t="s">
        <v>144</v>
      </c>
      <c r="D129" t="s">
        <v>391</v>
      </c>
      <c r="E129">
        <v>1</v>
      </c>
      <c r="F129">
        <v>4</v>
      </c>
      <c r="G129">
        <v>0</v>
      </c>
      <c r="H129">
        <v>4</v>
      </c>
      <c r="I129" t="s">
        <v>27</v>
      </c>
    </row>
    <row r="130" spans="1:10">
      <c r="A130" t="s">
        <v>35</v>
      </c>
      <c r="B130" t="s">
        <v>26</v>
      </c>
      <c r="C130" t="s">
        <v>147</v>
      </c>
      <c r="D130" t="s">
        <v>395</v>
      </c>
      <c r="E130">
        <v>1</v>
      </c>
      <c r="F130">
        <v>3.5</v>
      </c>
      <c r="G130">
        <v>1</v>
      </c>
      <c r="H130">
        <v>4</v>
      </c>
      <c r="I130" t="s">
        <v>27</v>
      </c>
    </row>
    <row r="131" spans="1:10">
      <c r="A131" t="s">
        <v>35</v>
      </c>
      <c r="B131" t="s">
        <v>26</v>
      </c>
      <c r="C131" t="s">
        <v>150</v>
      </c>
      <c r="D131" t="s">
        <v>399</v>
      </c>
      <c r="E131">
        <v>1</v>
      </c>
      <c r="F131">
        <v>3</v>
      </c>
      <c r="G131">
        <v>1</v>
      </c>
      <c r="H131">
        <v>3</v>
      </c>
      <c r="I131" t="s">
        <v>27</v>
      </c>
    </row>
    <row r="132" spans="1:10">
      <c r="A132" t="s">
        <v>35</v>
      </c>
      <c r="B132" t="s">
        <v>26</v>
      </c>
      <c r="C132" t="s">
        <v>153</v>
      </c>
      <c r="D132" t="s">
        <v>403</v>
      </c>
      <c r="E132">
        <v>1</v>
      </c>
      <c r="F132">
        <v>4</v>
      </c>
      <c r="G132">
        <v>0.25</v>
      </c>
      <c r="H132">
        <v>4</v>
      </c>
      <c r="I132" t="s">
        <v>27</v>
      </c>
      <c r="J132" t="s">
        <v>509</v>
      </c>
    </row>
    <row r="133" spans="1:10">
      <c r="A133" t="s">
        <v>35</v>
      </c>
      <c r="B133" t="s">
        <v>26</v>
      </c>
      <c r="C133" t="s">
        <v>162</v>
      </c>
      <c r="D133" t="s">
        <v>409</v>
      </c>
      <c r="E133">
        <v>1</v>
      </c>
      <c r="F133">
        <v>4</v>
      </c>
      <c r="G133">
        <v>0</v>
      </c>
      <c r="H133">
        <v>4</v>
      </c>
      <c r="I133" t="s">
        <v>27</v>
      </c>
    </row>
    <row r="134" spans="1:10">
      <c r="A134" t="s">
        <v>35</v>
      </c>
      <c r="B134" t="s">
        <v>26</v>
      </c>
      <c r="C134" t="s">
        <v>165</v>
      </c>
      <c r="D134" t="s">
        <v>413</v>
      </c>
      <c r="E134">
        <v>1</v>
      </c>
      <c r="F134">
        <v>4</v>
      </c>
      <c r="G134">
        <v>1</v>
      </c>
      <c r="H134">
        <v>4</v>
      </c>
      <c r="I134" t="s">
        <v>27</v>
      </c>
    </row>
    <row r="135" spans="1:10">
      <c r="A135" t="s">
        <v>35</v>
      </c>
      <c r="B135" t="s">
        <v>26</v>
      </c>
      <c r="C135" t="s">
        <v>168</v>
      </c>
      <c r="D135" t="s">
        <v>417</v>
      </c>
      <c r="E135">
        <v>1</v>
      </c>
      <c r="F135">
        <v>4</v>
      </c>
      <c r="G135">
        <v>1</v>
      </c>
      <c r="H135">
        <v>3</v>
      </c>
      <c r="I135" t="s">
        <v>27</v>
      </c>
    </row>
    <row r="136" spans="1:10">
      <c r="A136" t="s">
        <v>35</v>
      </c>
      <c r="B136" t="s">
        <v>26</v>
      </c>
      <c r="C136" t="s">
        <v>33</v>
      </c>
      <c r="D136" t="s">
        <v>427</v>
      </c>
      <c r="E136">
        <v>1</v>
      </c>
      <c r="F136">
        <v>4</v>
      </c>
      <c r="G136">
        <v>0</v>
      </c>
      <c r="H136">
        <v>4</v>
      </c>
      <c r="I136" t="s">
        <v>27</v>
      </c>
    </row>
    <row r="137" spans="1:10">
      <c r="A137" t="s">
        <v>35</v>
      </c>
      <c r="B137" t="s">
        <v>26</v>
      </c>
      <c r="C137" t="s">
        <v>35</v>
      </c>
      <c r="D137" t="s">
        <v>433</v>
      </c>
      <c r="E137">
        <v>1</v>
      </c>
      <c r="F137">
        <v>3</v>
      </c>
      <c r="G137">
        <v>1</v>
      </c>
      <c r="H137">
        <v>4</v>
      </c>
      <c r="I137" t="s">
        <v>27</v>
      </c>
    </row>
    <row r="138" spans="1:10">
      <c r="A138" t="s">
        <v>35</v>
      </c>
      <c r="B138" t="s">
        <v>26</v>
      </c>
      <c r="C138" t="s">
        <v>189</v>
      </c>
      <c r="D138" t="s">
        <v>439</v>
      </c>
      <c r="E138">
        <v>1</v>
      </c>
      <c r="F138">
        <v>3</v>
      </c>
      <c r="G138">
        <v>1</v>
      </c>
      <c r="H138">
        <v>3</v>
      </c>
      <c r="I138" t="s">
        <v>86</v>
      </c>
      <c r="J138" t="s">
        <v>510</v>
      </c>
    </row>
    <row r="139" spans="1:10">
      <c r="A139" t="s">
        <v>35</v>
      </c>
      <c r="B139" t="s">
        <v>26</v>
      </c>
      <c r="C139" t="s">
        <v>192</v>
      </c>
      <c r="D139" t="s">
        <v>442</v>
      </c>
      <c r="E139">
        <v>1</v>
      </c>
      <c r="F139">
        <v>4</v>
      </c>
      <c r="G139">
        <v>1</v>
      </c>
      <c r="H139">
        <v>4</v>
      </c>
      <c r="I139" t="s">
        <v>27</v>
      </c>
      <c r="J139" t="s">
        <v>511</v>
      </c>
    </row>
    <row r="140" spans="1:10">
      <c r="A140" t="s">
        <v>36</v>
      </c>
      <c r="B140" t="s">
        <v>37</v>
      </c>
      <c r="C140" t="s">
        <v>54</v>
      </c>
      <c r="D140" t="s">
        <v>306</v>
      </c>
      <c r="E140">
        <v>1</v>
      </c>
      <c r="F140">
        <v>4</v>
      </c>
      <c r="G140">
        <v>0</v>
      </c>
      <c r="H140">
        <v>4</v>
      </c>
      <c r="I140" t="s">
        <v>27</v>
      </c>
    </row>
    <row r="141" spans="1:10">
      <c r="A141" t="s">
        <v>36</v>
      </c>
      <c r="B141" t="s">
        <v>37</v>
      </c>
      <c r="C141" t="s">
        <v>67</v>
      </c>
      <c r="D141" t="s">
        <v>319</v>
      </c>
      <c r="E141">
        <v>1</v>
      </c>
      <c r="F141">
        <v>3</v>
      </c>
      <c r="G141">
        <v>1</v>
      </c>
      <c r="H141">
        <v>4</v>
      </c>
      <c r="I141" t="s">
        <v>27</v>
      </c>
    </row>
    <row r="142" spans="1:10">
      <c r="A142" t="s">
        <v>36</v>
      </c>
      <c r="B142" t="s">
        <v>37</v>
      </c>
      <c r="C142" t="s">
        <v>77</v>
      </c>
      <c r="D142" t="s">
        <v>328</v>
      </c>
      <c r="E142">
        <v>1</v>
      </c>
      <c r="F142">
        <v>4</v>
      </c>
      <c r="G142">
        <v>0</v>
      </c>
      <c r="H142">
        <v>4</v>
      </c>
      <c r="I142" t="s">
        <v>27</v>
      </c>
    </row>
    <row r="143" spans="1:10">
      <c r="A143" t="s">
        <v>36</v>
      </c>
      <c r="B143" t="s">
        <v>37</v>
      </c>
      <c r="C143" t="s">
        <v>83</v>
      </c>
      <c r="D143" t="s">
        <v>335</v>
      </c>
      <c r="E143">
        <v>1</v>
      </c>
      <c r="F143">
        <v>3</v>
      </c>
      <c r="G143">
        <v>1</v>
      </c>
      <c r="H143">
        <v>4</v>
      </c>
      <c r="I143" t="s">
        <v>27</v>
      </c>
      <c r="J143" t="s">
        <v>512</v>
      </c>
    </row>
    <row r="144" spans="1:10">
      <c r="A144" t="s">
        <v>36</v>
      </c>
      <c r="B144" t="s">
        <v>37</v>
      </c>
      <c r="C144" t="s">
        <v>94</v>
      </c>
      <c r="D144" t="s">
        <v>342</v>
      </c>
      <c r="E144">
        <v>1</v>
      </c>
      <c r="F144">
        <v>4</v>
      </c>
      <c r="G144">
        <v>0</v>
      </c>
      <c r="H144">
        <v>4</v>
      </c>
      <c r="I144" t="s">
        <v>27</v>
      </c>
    </row>
    <row r="145" spans="1:10">
      <c r="A145" t="s">
        <v>36</v>
      </c>
      <c r="B145" t="s">
        <v>37</v>
      </c>
      <c r="C145" t="s">
        <v>97</v>
      </c>
      <c r="D145" t="s">
        <v>347</v>
      </c>
      <c r="E145">
        <v>1</v>
      </c>
      <c r="F145">
        <v>3.5</v>
      </c>
      <c r="G145">
        <v>1</v>
      </c>
      <c r="H145">
        <v>4</v>
      </c>
      <c r="I145" t="s">
        <v>27</v>
      </c>
    </row>
    <row r="146" spans="1:10">
      <c r="A146" t="s">
        <v>36</v>
      </c>
      <c r="B146" t="s">
        <v>37</v>
      </c>
      <c r="C146" t="s">
        <v>100</v>
      </c>
      <c r="D146" t="s">
        <v>351</v>
      </c>
      <c r="E146">
        <v>1</v>
      </c>
      <c r="F146">
        <v>4</v>
      </c>
      <c r="G146">
        <v>1</v>
      </c>
      <c r="H146">
        <v>4</v>
      </c>
      <c r="I146" t="s">
        <v>27</v>
      </c>
    </row>
    <row r="147" spans="1:10">
      <c r="A147" t="s">
        <v>36</v>
      </c>
      <c r="B147" t="s">
        <v>37</v>
      </c>
      <c r="C147" t="s">
        <v>106</v>
      </c>
      <c r="D147" t="s">
        <v>358</v>
      </c>
      <c r="E147">
        <v>1</v>
      </c>
      <c r="F147">
        <v>4</v>
      </c>
      <c r="G147">
        <v>0</v>
      </c>
      <c r="H147">
        <v>4</v>
      </c>
      <c r="I147" t="s">
        <v>27</v>
      </c>
    </row>
    <row r="148" spans="1:10">
      <c r="A148" t="s">
        <v>36</v>
      </c>
      <c r="B148" t="s">
        <v>37</v>
      </c>
      <c r="C148" t="s">
        <v>113</v>
      </c>
      <c r="D148" t="s">
        <v>366</v>
      </c>
      <c r="E148">
        <v>0.917</v>
      </c>
      <c r="F148">
        <v>3</v>
      </c>
      <c r="G148">
        <v>1</v>
      </c>
      <c r="H148">
        <v>3</v>
      </c>
      <c r="I148" t="s">
        <v>27</v>
      </c>
    </row>
    <row r="149" spans="1:10">
      <c r="A149" t="s">
        <v>36</v>
      </c>
      <c r="B149" t="s">
        <v>37</v>
      </c>
      <c r="C149" t="s">
        <v>119</v>
      </c>
      <c r="D149" t="s">
        <v>372</v>
      </c>
      <c r="E149">
        <v>1</v>
      </c>
      <c r="F149">
        <v>3.5</v>
      </c>
      <c r="G149">
        <v>1</v>
      </c>
      <c r="H149">
        <v>4</v>
      </c>
      <c r="I149" t="s">
        <v>27</v>
      </c>
    </row>
    <row r="150" spans="1:10">
      <c r="A150" t="s">
        <v>36</v>
      </c>
      <c r="B150" t="s">
        <v>37</v>
      </c>
      <c r="C150" t="s">
        <v>122</v>
      </c>
      <c r="D150" t="s">
        <v>376</v>
      </c>
      <c r="E150">
        <v>1</v>
      </c>
      <c r="F150">
        <v>3</v>
      </c>
      <c r="G150">
        <v>1</v>
      </c>
      <c r="H150">
        <v>4</v>
      </c>
      <c r="I150" t="s">
        <v>27</v>
      </c>
    </row>
    <row r="151" spans="1:10">
      <c r="A151" t="s">
        <v>36</v>
      </c>
      <c r="B151" t="s">
        <v>37</v>
      </c>
      <c r="C151" t="s">
        <v>141</v>
      </c>
      <c r="D151" t="s">
        <v>387</v>
      </c>
      <c r="E151">
        <v>1</v>
      </c>
      <c r="F151">
        <v>3</v>
      </c>
      <c r="G151">
        <v>0.25</v>
      </c>
      <c r="H151">
        <v>4</v>
      </c>
      <c r="I151" t="s">
        <v>27</v>
      </c>
      <c r="J151" t="s">
        <v>513</v>
      </c>
    </row>
    <row r="152" spans="1:10">
      <c r="A152" t="s">
        <v>36</v>
      </c>
      <c r="B152" t="s">
        <v>37</v>
      </c>
      <c r="C152" t="s">
        <v>144</v>
      </c>
      <c r="D152" t="s">
        <v>391</v>
      </c>
      <c r="E152">
        <v>1</v>
      </c>
      <c r="F152">
        <v>4</v>
      </c>
      <c r="G152">
        <v>0</v>
      </c>
      <c r="H152">
        <v>3</v>
      </c>
      <c r="I152" t="s">
        <v>27</v>
      </c>
    </row>
    <row r="153" spans="1:10">
      <c r="A153" t="s">
        <v>36</v>
      </c>
      <c r="B153" t="s">
        <v>37</v>
      </c>
      <c r="C153" t="s">
        <v>147</v>
      </c>
      <c r="D153" t="s">
        <v>395</v>
      </c>
      <c r="E153">
        <v>1</v>
      </c>
      <c r="F153">
        <v>3.5</v>
      </c>
      <c r="G153">
        <v>1</v>
      </c>
      <c r="H153">
        <v>3</v>
      </c>
      <c r="I153" t="s">
        <v>27</v>
      </c>
    </row>
    <row r="154" spans="1:10">
      <c r="A154" t="s">
        <v>36</v>
      </c>
      <c r="B154" t="s">
        <v>37</v>
      </c>
      <c r="C154" t="s">
        <v>150</v>
      </c>
      <c r="D154" t="s">
        <v>399</v>
      </c>
      <c r="E154">
        <v>1</v>
      </c>
      <c r="F154">
        <v>3</v>
      </c>
      <c r="G154">
        <v>1</v>
      </c>
      <c r="H154">
        <v>4</v>
      </c>
      <c r="I154" t="s">
        <v>27</v>
      </c>
    </row>
    <row r="155" spans="1:10">
      <c r="A155" t="s">
        <v>36</v>
      </c>
      <c r="B155" t="s">
        <v>37</v>
      </c>
      <c r="C155" t="s">
        <v>153</v>
      </c>
      <c r="D155" t="s">
        <v>403</v>
      </c>
      <c r="E155">
        <v>1</v>
      </c>
      <c r="F155">
        <v>4</v>
      </c>
      <c r="G155">
        <v>0.25</v>
      </c>
      <c r="H155">
        <v>4</v>
      </c>
      <c r="I155" t="s">
        <v>27</v>
      </c>
    </row>
    <row r="156" spans="1:10">
      <c r="A156" t="s">
        <v>36</v>
      </c>
      <c r="B156" t="s">
        <v>37</v>
      </c>
      <c r="C156" t="s">
        <v>162</v>
      </c>
      <c r="D156" t="s">
        <v>409</v>
      </c>
      <c r="E156">
        <v>1</v>
      </c>
      <c r="F156">
        <v>4</v>
      </c>
      <c r="G156">
        <v>0</v>
      </c>
      <c r="H156">
        <v>4</v>
      </c>
      <c r="I156" t="s">
        <v>27</v>
      </c>
    </row>
    <row r="157" spans="1:10">
      <c r="A157" t="s">
        <v>36</v>
      </c>
      <c r="B157" t="s">
        <v>37</v>
      </c>
      <c r="C157" t="s">
        <v>165</v>
      </c>
      <c r="D157" t="s">
        <v>413</v>
      </c>
      <c r="E157">
        <v>1</v>
      </c>
      <c r="F157">
        <v>4</v>
      </c>
      <c r="G157">
        <v>1</v>
      </c>
      <c r="H157">
        <v>4</v>
      </c>
      <c r="I157" t="s">
        <v>27</v>
      </c>
    </row>
    <row r="158" spans="1:10">
      <c r="A158" t="s">
        <v>36</v>
      </c>
      <c r="B158" t="s">
        <v>37</v>
      </c>
      <c r="C158" t="s">
        <v>168</v>
      </c>
      <c r="D158" t="s">
        <v>417</v>
      </c>
      <c r="E158">
        <v>1</v>
      </c>
      <c r="F158">
        <v>4</v>
      </c>
      <c r="G158">
        <v>1</v>
      </c>
      <c r="H158">
        <v>3</v>
      </c>
      <c r="I158" t="s">
        <v>27</v>
      </c>
      <c r="J158" t="s">
        <v>514</v>
      </c>
    </row>
    <row r="159" spans="1:10">
      <c r="A159" t="s">
        <v>36</v>
      </c>
      <c r="B159" t="s">
        <v>37</v>
      </c>
      <c r="C159" t="s">
        <v>33</v>
      </c>
      <c r="D159" t="s">
        <v>427</v>
      </c>
      <c r="E159">
        <v>1</v>
      </c>
      <c r="F159">
        <v>4</v>
      </c>
      <c r="G159">
        <v>0</v>
      </c>
      <c r="H159">
        <v>4</v>
      </c>
      <c r="I159" t="s">
        <v>27</v>
      </c>
    </row>
    <row r="160" spans="1:10">
      <c r="A160" t="s">
        <v>36</v>
      </c>
      <c r="B160" t="s">
        <v>37</v>
      </c>
      <c r="C160" t="s">
        <v>35</v>
      </c>
      <c r="D160" t="s">
        <v>433</v>
      </c>
      <c r="E160">
        <v>1</v>
      </c>
      <c r="F160">
        <v>3</v>
      </c>
      <c r="G160">
        <v>1</v>
      </c>
      <c r="H160">
        <v>4</v>
      </c>
      <c r="I160" t="s">
        <v>27</v>
      </c>
    </row>
    <row r="161" spans="1:10">
      <c r="A161" t="s">
        <v>36</v>
      </c>
      <c r="B161" t="s">
        <v>37</v>
      </c>
      <c r="C161" t="s">
        <v>189</v>
      </c>
      <c r="D161" t="s">
        <v>439</v>
      </c>
      <c r="E161">
        <v>1</v>
      </c>
      <c r="F161">
        <v>3</v>
      </c>
      <c r="G161">
        <v>1</v>
      </c>
      <c r="H161">
        <v>3</v>
      </c>
      <c r="I161" t="s">
        <v>86</v>
      </c>
      <c r="J161" t="s">
        <v>515</v>
      </c>
    </row>
    <row r="162" spans="1:10">
      <c r="A162" t="s">
        <v>36</v>
      </c>
      <c r="B162" t="s">
        <v>37</v>
      </c>
      <c r="C162" t="s">
        <v>192</v>
      </c>
      <c r="D162" t="s">
        <v>442</v>
      </c>
      <c r="E162">
        <v>1</v>
      </c>
      <c r="F162">
        <v>4</v>
      </c>
      <c r="G162">
        <v>1</v>
      </c>
      <c r="H162">
        <v>4</v>
      </c>
      <c r="I162" t="s">
        <v>27</v>
      </c>
    </row>
    <row r="163" spans="1:10">
      <c r="A163" t="s">
        <v>38</v>
      </c>
      <c r="B163" t="s">
        <v>37</v>
      </c>
      <c r="C163" t="s">
        <v>54</v>
      </c>
      <c r="D163" t="s">
        <v>306</v>
      </c>
      <c r="E163">
        <v>1</v>
      </c>
      <c r="F163">
        <v>4</v>
      </c>
      <c r="G163">
        <v>0</v>
      </c>
      <c r="H163">
        <v>4</v>
      </c>
      <c r="I163" t="s">
        <v>27</v>
      </c>
    </row>
    <row r="164" spans="1:10">
      <c r="A164" t="s">
        <v>38</v>
      </c>
      <c r="B164" t="s">
        <v>37</v>
      </c>
      <c r="C164" t="s">
        <v>67</v>
      </c>
      <c r="D164" t="s">
        <v>319</v>
      </c>
      <c r="E164">
        <v>1</v>
      </c>
      <c r="F164">
        <v>3</v>
      </c>
      <c r="G164">
        <v>1</v>
      </c>
      <c r="H164">
        <v>4</v>
      </c>
      <c r="I164" t="s">
        <v>27</v>
      </c>
    </row>
    <row r="165" spans="1:10">
      <c r="A165" t="s">
        <v>38</v>
      </c>
      <c r="B165" t="s">
        <v>37</v>
      </c>
      <c r="C165" t="s">
        <v>77</v>
      </c>
      <c r="D165" t="s">
        <v>328</v>
      </c>
      <c r="E165">
        <v>1</v>
      </c>
      <c r="F165">
        <v>4</v>
      </c>
      <c r="G165">
        <v>0</v>
      </c>
      <c r="H165">
        <v>4</v>
      </c>
      <c r="I165" t="s">
        <v>27</v>
      </c>
      <c r="J165" t="s">
        <v>516</v>
      </c>
    </row>
    <row r="166" spans="1:10">
      <c r="A166" t="s">
        <v>38</v>
      </c>
      <c r="B166" t="s">
        <v>37</v>
      </c>
      <c r="C166" t="s">
        <v>83</v>
      </c>
      <c r="D166" t="s">
        <v>335</v>
      </c>
      <c r="E166">
        <v>1</v>
      </c>
      <c r="F166">
        <v>3</v>
      </c>
      <c r="G166">
        <v>1</v>
      </c>
      <c r="H166">
        <v>4</v>
      </c>
      <c r="I166" t="s">
        <v>27</v>
      </c>
    </row>
    <row r="167" spans="1:10">
      <c r="A167" t="s">
        <v>38</v>
      </c>
      <c r="B167" t="s">
        <v>37</v>
      </c>
      <c r="C167" t="s">
        <v>94</v>
      </c>
      <c r="D167" t="s">
        <v>342</v>
      </c>
      <c r="E167">
        <v>1</v>
      </c>
      <c r="F167">
        <v>4</v>
      </c>
      <c r="G167">
        <v>0</v>
      </c>
      <c r="H167">
        <v>4</v>
      </c>
      <c r="I167" t="s">
        <v>27</v>
      </c>
    </row>
    <row r="168" spans="1:10">
      <c r="A168" t="s">
        <v>38</v>
      </c>
      <c r="B168" t="s">
        <v>37</v>
      </c>
      <c r="C168" t="s">
        <v>97</v>
      </c>
      <c r="D168" t="s">
        <v>347</v>
      </c>
      <c r="E168">
        <v>1</v>
      </c>
      <c r="F168">
        <v>3.5</v>
      </c>
      <c r="G168">
        <v>1</v>
      </c>
      <c r="H168">
        <v>4</v>
      </c>
      <c r="I168" t="s">
        <v>27</v>
      </c>
    </row>
    <row r="169" spans="1:10">
      <c r="A169" t="s">
        <v>38</v>
      </c>
      <c r="B169" t="s">
        <v>37</v>
      </c>
      <c r="C169" t="s">
        <v>100</v>
      </c>
      <c r="D169" t="s">
        <v>351</v>
      </c>
      <c r="E169">
        <v>1</v>
      </c>
      <c r="F169">
        <v>4</v>
      </c>
      <c r="G169">
        <v>1</v>
      </c>
      <c r="H169">
        <v>4</v>
      </c>
      <c r="I169" t="s">
        <v>27</v>
      </c>
    </row>
    <row r="170" spans="1:10">
      <c r="A170" t="s">
        <v>38</v>
      </c>
      <c r="B170" t="s">
        <v>37</v>
      </c>
      <c r="C170" t="s">
        <v>106</v>
      </c>
      <c r="D170" t="s">
        <v>358</v>
      </c>
      <c r="E170">
        <v>1</v>
      </c>
      <c r="F170">
        <v>4</v>
      </c>
      <c r="G170">
        <v>0</v>
      </c>
      <c r="H170">
        <v>4</v>
      </c>
      <c r="I170" t="s">
        <v>27</v>
      </c>
    </row>
    <row r="171" spans="1:10">
      <c r="A171" t="s">
        <v>38</v>
      </c>
      <c r="B171" t="s">
        <v>37</v>
      </c>
      <c r="C171" t="s">
        <v>113</v>
      </c>
      <c r="D171" t="s">
        <v>366</v>
      </c>
      <c r="E171">
        <v>0.917</v>
      </c>
      <c r="F171">
        <v>3</v>
      </c>
      <c r="G171">
        <v>1</v>
      </c>
      <c r="H171">
        <v>3</v>
      </c>
      <c r="I171" t="s">
        <v>27</v>
      </c>
      <c r="J171" t="s">
        <v>517</v>
      </c>
    </row>
    <row r="172" spans="1:10">
      <c r="A172" t="s">
        <v>38</v>
      </c>
      <c r="B172" t="s">
        <v>37</v>
      </c>
      <c r="C172" t="s">
        <v>119</v>
      </c>
      <c r="D172" t="s">
        <v>372</v>
      </c>
      <c r="E172">
        <v>1</v>
      </c>
      <c r="F172">
        <v>3.5</v>
      </c>
      <c r="G172">
        <v>1</v>
      </c>
      <c r="H172">
        <v>4</v>
      </c>
      <c r="I172" t="s">
        <v>27</v>
      </c>
    </row>
    <row r="173" spans="1:10">
      <c r="A173" t="s">
        <v>38</v>
      </c>
      <c r="B173" t="s">
        <v>37</v>
      </c>
      <c r="C173" t="s">
        <v>122</v>
      </c>
      <c r="D173" t="s">
        <v>376</v>
      </c>
      <c r="E173">
        <v>1</v>
      </c>
      <c r="F173">
        <v>3</v>
      </c>
      <c r="G173">
        <v>1</v>
      </c>
      <c r="H173">
        <v>4</v>
      </c>
      <c r="I173" t="s">
        <v>27</v>
      </c>
    </row>
    <row r="174" spans="1:10">
      <c r="A174" t="s">
        <v>38</v>
      </c>
      <c r="B174" t="s">
        <v>37</v>
      </c>
      <c r="C174" t="s">
        <v>141</v>
      </c>
      <c r="D174" t="s">
        <v>387</v>
      </c>
      <c r="E174">
        <v>1</v>
      </c>
      <c r="F174">
        <v>3</v>
      </c>
      <c r="G174">
        <v>0.25</v>
      </c>
      <c r="H174">
        <v>4</v>
      </c>
      <c r="I174" t="s">
        <v>27</v>
      </c>
    </row>
    <row r="175" spans="1:10">
      <c r="A175" t="s">
        <v>38</v>
      </c>
      <c r="B175" t="s">
        <v>37</v>
      </c>
      <c r="C175" t="s">
        <v>144</v>
      </c>
      <c r="D175" t="s">
        <v>391</v>
      </c>
      <c r="E175">
        <v>1</v>
      </c>
      <c r="F175">
        <v>4</v>
      </c>
      <c r="G175">
        <v>0</v>
      </c>
      <c r="H175">
        <v>4</v>
      </c>
      <c r="I175" t="s">
        <v>27</v>
      </c>
    </row>
    <row r="176" spans="1:10">
      <c r="A176" t="s">
        <v>38</v>
      </c>
      <c r="B176" t="s">
        <v>37</v>
      </c>
      <c r="C176" t="s">
        <v>147</v>
      </c>
      <c r="D176" t="s">
        <v>395</v>
      </c>
      <c r="E176">
        <v>1</v>
      </c>
      <c r="F176">
        <v>3.5</v>
      </c>
      <c r="G176">
        <v>1</v>
      </c>
      <c r="H176">
        <v>3</v>
      </c>
      <c r="I176" t="s">
        <v>27</v>
      </c>
      <c r="J176" t="s">
        <v>518</v>
      </c>
    </row>
    <row r="177" spans="1:10">
      <c r="A177" t="s">
        <v>38</v>
      </c>
      <c r="B177" t="s">
        <v>37</v>
      </c>
      <c r="C177" t="s">
        <v>150</v>
      </c>
      <c r="D177" t="s">
        <v>399</v>
      </c>
      <c r="E177">
        <v>1</v>
      </c>
      <c r="F177">
        <v>3</v>
      </c>
      <c r="G177">
        <v>1</v>
      </c>
      <c r="H177">
        <v>3</v>
      </c>
      <c r="I177" t="s">
        <v>27</v>
      </c>
    </row>
    <row r="178" spans="1:10">
      <c r="A178" t="s">
        <v>38</v>
      </c>
      <c r="B178" t="s">
        <v>37</v>
      </c>
      <c r="C178" t="s">
        <v>153</v>
      </c>
      <c r="D178" t="s">
        <v>403</v>
      </c>
      <c r="E178">
        <v>1</v>
      </c>
      <c r="F178">
        <v>4</v>
      </c>
      <c r="G178">
        <v>0.25</v>
      </c>
      <c r="H178">
        <v>4</v>
      </c>
      <c r="I178" t="s">
        <v>27</v>
      </c>
    </row>
    <row r="179" spans="1:10">
      <c r="A179" t="s">
        <v>38</v>
      </c>
      <c r="B179" t="s">
        <v>37</v>
      </c>
      <c r="C179" t="s">
        <v>162</v>
      </c>
      <c r="D179" t="s">
        <v>409</v>
      </c>
      <c r="E179">
        <v>1</v>
      </c>
      <c r="F179">
        <v>4</v>
      </c>
      <c r="G179">
        <v>0</v>
      </c>
      <c r="H179">
        <v>4</v>
      </c>
      <c r="I179" t="s">
        <v>27</v>
      </c>
    </row>
    <row r="180" spans="1:10">
      <c r="A180" t="s">
        <v>38</v>
      </c>
      <c r="B180" t="s">
        <v>37</v>
      </c>
      <c r="C180" t="s">
        <v>165</v>
      </c>
      <c r="D180" t="s">
        <v>413</v>
      </c>
      <c r="E180">
        <v>1</v>
      </c>
      <c r="F180">
        <v>4</v>
      </c>
      <c r="G180">
        <v>1</v>
      </c>
      <c r="H180">
        <v>4</v>
      </c>
      <c r="I180" t="s">
        <v>27</v>
      </c>
    </row>
    <row r="181" spans="1:10">
      <c r="A181" t="s">
        <v>38</v>
      </c>
      <c r="B181" t="s">
        <v>37</v>
      </c>
      <c r="C181" t="s">
        <v>168</v>
      </c>
      <c r="D181" t="s">
        <v>417</v>
      </c>
      <c r="E181">
        <v>1</v>
      </c>
      <c r="F181">
        <v>4</v>
      </c>
      <c r="G181">
        <v>1</v>
      </c>
      <c r="H181">
        <v>3</v>
      </c>
      <c r="I181" t="s">
        <v>27</v>
      </c>
    </row>
    <row r="182" spans="1:10">
      <c r="A182" t="s">
        <v>38</v>
      </c>
      <c r="B182" t="s">
        <v>37</v>
      </c>
      <c r="C182" t="s">
        <v>33</v>
      </c>
      <c r="D182" t="s">
        <v>427</v>
      </c>
      <c r="E182">
        <v>1</v>
      </c>
      <c r="F182">
        <v>4</v>
      </c>
      <c r="G182">
        <v>0</v>
      </c>
      <c r="H182">
        <v>4</v>
      </c>
      <c r="I182" t="s">
        <v>27</v>
      </c>
    </row>
    <row r="183" spans="1:10">
      <c r="A183" t="s">
        <v>38</v>
      </c>
      <c r="B183" t="s">
        <v>37</v>
      </c>
      <c r="C183" t="s">
        <v>35</v>
      </c>
      <c r="D183" t="s">
        <v>433</v>
      </c>
      <c r="E183">
        <v>1</v>
      </c>
      <c r="F183">
        <v>3</v>
      </c>
      <c r="G183">
        <v>1</v>
      </c>
      <c r="H183">
        <v>4</v>
      </c>
      <c r="I183" t="s">
        <v>27</v>
      </c>
    </row>
    <row r="184" spans="1:10">
      <c r="A184" t="s">
        <v>38</v>
      </c>
      <c r="B184" t="s">
        <v>37</v>
      </c>
      <c r="C184" t="s">
        <v>189</v>
      </c>
      <c r="D184" t="s">
        <v>439</v>
      </c>
      <c r="E184">
        <v>1</v>
      </c>
      <c r="F184">
        <v>3</v>
      </c>
      <c r="G184">
        <v>1</v>
      </c>
      <c r="H184">
        <v>3</v>
      </c>
      <c r="I184" t="s">
        <v>86</v>
      </c>
      <c r="J184" t="s">
        <v>519</v>
      </c>
    </row>
    <row r="185" spans="1:10">
      <c r="A185" t="s">
        <v>38</v>
      </c>
      <c r="B185" t="s">
        <v>37</v>
      </c>
      <c r="C185" t="s">
        <v>192</v>
      </c>
      <c r="D185" t="s">
        <v>442</v>
      </c>
      <c r="E185">
        <v>1</v>
      </c>
      <c r="F185">
        <v>4</v>
      </c>
      <c r="G185">
        <v>1</v>
      </c>
      <c r="H185">
        <v>4</v>
      </c>
      <c r="I185" t="s">
        <v>27</v>
      </c>
    </row>
    <row r="186" spans="1:10">
      <c r="A186" t="s">
        <v>39</v>
      </c>
      <c r="B186" t="s">
        <v>37</v>
      </c>
      <c r="C186" t="s">
        <v>54</v>
      </c>
      <c r="D186" t="s">
        <v>306</v>
      </c>
      <c r="E186">
        <v>1</v>
      </c>
      <c r="F186">
        <v>4</v>
      </c>
      <c r="G186">
        <v>0</v>
      </c>
      <c r="H186">
        <v>4</v>
      </c>
      <c r="I186" t="s">
        <v>27</v>
      </c>
    </row>
    <row r="187" spans="1:10">
      <c r="A187" t="s">
        <v>39</v>
      </c>
      <c r="B187" t="s">
        <v>37</v>
      </c>
      <c r="C187" t="s">
        <v>67</v>
      </c>
      <c r="D187" t="s">
        <v>319</v>
      </c>
      <c r="E187">
        <v>1</v>
      </c>
      <c r="F187">
        <v>3</v>
      </c>
      <c r="G187">
        <v>1</v>
      </c>
      <c r="H187">
        <v>4</v>
      </c>
      <c r="I187" t="s">
        <v>27</v>
      </c>
    </row>
    <row r="188" spans="1:10">
      <c r="A188" t="s">
        <v>39</v>
      </c>
      <c r="B188" t="s">
        <v>37</v>
      </c>
      <c r="C188" t="s">
        <v>77</v>
      </c>
      <c r="D188" t="s">
        <v>328</v>
      </c>
      <c r="E188">
        <v>1</v>
      </c>
      <c r="F188">
        <v>4</v>
      </c>
      <c r="G188">
        <v>0</v>
      </c>
      <c r="H188">
        <v>4</v>
      </c>
      <c r="I188" t="s">
        <v>27</v>
      </c>
    </row>
    <row r="189" spans="1:10">
      <c r="A189" t="s">
        <v>39</v>
      </c>
      <c r="B189" t="s">
        <v>37</v>
      </c>
      <c r="C189" t="s">
        <v>83</v>
      </c>
      <c r="D189" t="s">
        <v>335</v>
      </c>
      <c r="E189">
        <v>1</v>
      </c>
      <c r="F189">
        <v>3</v>
      </c>
      <c r="G189">
        <v>1</v>
      </c>
      <c r="H189">
        <v>4</v>
      </c>
      <c r="I189" t="s">
        <v>27</v>
      </c>
    </row>
    <row r="190" spans="1:10">
      <c r="A190" t="s">
        <v>39</v>
      </c>
      <c r="B190" t="s">
        <v>37</v>
      </c>
      <c r="C190" t="s">
        <v>94</v>
      </c>
      <c r="D190" t="s">
        <v>342</v>
      </c>
      <c r="E190">
        <v>1</v>
      </c>
      <c r="F190">
        <v>4</v>
      </c>
      <c r="G190">
        <v>0</v>
      </c>
      <c r="H190">
        <v>4</v>
      </c>
      <c r="I190" t="s">
        <v>27</v>
      </c>
    </row>
    <row r="191" spans="1:10">
      <c r="A191" t="s">
        <v>39</v>
      </c>
      <c r="B191" t="s">
        <v>37</v>
      </c>
      <c r="C191" t="s">
        <v>97</v>
      </c>
      <c r="D191" t="s">
        <v>347</v>
      </c>
      <c r="E191">
        <v>1</v>
      </c>
      <c r="F191">
        <v>3.5</v>
      </c>
      <c r="G191">
        <v>1</v>
      </c>
      <c r="H191">
        <v>4</v>
      </c>
      <c r="I191" t="s">
        <v>27</v>
      </c>
      <c r="J191" t="s">
        <v>520</v>
      </c>
    </row>
    <row r="192" spans="1:10">
      <c r="A192" t="s">
        <v>39</v>
      </c>
      <c r="B192" t="s">
        <v>37</v>
      </c>
      <c r="C192" t="s">
        <v>100</v>
      </c>
      <c r="D192" t="s">
        <v>351</v>
      </c>
      <c r="E192">
        <v>1</v>
      </c>
      <c r="F192">
        <v>4</v>
      </c>
      <c r="G192">
        <v>1</v>
      </c>
      <c r="H192">
        <v>4</v>
      </c>
      <c r="I192" t="s">
        <v>27</v>
      </c>
    </row>
    <row r="193" spans="1:10">
      <c r="A193" t="s">
        <v>39</v>
      </c>
      <c r="B193" t="s">
        <v>37</v>
      </c>
      <c r="C193" t="s">
        <v>106</v>
      </c>
      <c r="D193" t="s">
        <v>358</v>
      </c>
      <c r="E193">
        <v>1</v>
      </c>
      <c r="F193">
        <v>4</v>
      </c>
      <c r="G193">
        <v>0</v>
      </c>
      <c r="H193">
        <v>4</v>
      </c>
      <c r="I193" t="s">
        <v>27</v>
      </c>
      <c r="J193" t="s">
        <v>521</v>
      </c>
    </row>
    <row r="194" spans="1:10">
      <c r="A194" t="s">
        <v>39</v>
      </c>
      <c r="B194" t="s">
        <v>37</v>
      </c>
      <c r="C194" t="s">
        <v>113</v>
      </c>
      <c r="D194" t="s">
        <v>366</v>
      </c>
      <c r="E194">
        <v>0.917</v>
      </c>
      <c r="F194">
        <v>3</v>
      </c>
      <c r="G194">
        <v>1</v>
      </c>
      <c r="H194">
        <v>3</v>
      </c>
      <c r="I194" t="s">
        <v>27</v>
      </c>
    </row>
    <row r="195" spans="1:10">
      <c r="A195" t="s">
        <v>39</v>
      </c>
      <c r="B195" t="s">
        <v>37</v>
      </c>
      <c r="C195" t="s">
        <v>119</v>
      </c>
      <c r="D195" t="s">
        <v>372</v>
      </c>
      <c r="E195">
        <v>1</v>
      </c>
      <c r="F195">
        <v>3.5</v>
      </c>
      <c r="G195">
        <v>1</v>
      </c>
      <c r="H195">
        <v>4</v>
      </c>
      <c r="I195" t="s">
        <v>27</v>
      </c>
    </row>
    <row r="196" spans="1:10">
      <c r="A196" t="s">
        <v>39</v>
      </c>
      <c r="B196" t="s">
        <v>37</v>
      </c>
      <c r="C196" t="s">
        <v>122</v>
      </c>
      <c r="D196" t="s">
        <v>376</v>
      </c>
      <c r="E196">
        <v>1</v>
      </c>
      <c r="F196">
        <v>3</v>
      </c>
      <c r="G196">
        <v>1</v>
      </c>
      <c r="H196">
        <v>4</v>
      </c>
      <c r="I196" t="s">
        <v>27</v>
      </c>
    </row>
    <row r="197" spans="1:10">
      <c r="A197" t="s">
        <v>39</v>
      </c>
      <c r="B197" t="s">
        <v>37</v>
      </c>
      <c r="C197" t="s">
        <v>141</v>
      </c>
      <c r="D197" t="s">
        <v>387</v>
      </c>
      <c r="E197">
        <v>1</v>
      </c>
      <c r="F197">
        <v>3</v>
      </c>
      <c r="G197">
        <v>0.25</v>
      </c>
      <c r="H197">
        <v>4</v>
      </c>
      <c r="I197" t="s">
        <v>27</v>
      </c>
    </row>
    <row r="198" spans="1:10">
      <c r="A198" t="s">
        <v>39</v>
      </c>
      <c r="B198" t="s">
        <v>37</v>
      </c>
      <c r="C198" t="s">
        <v>144</v>
      </c>
      <c r="D198" t="s">
        <v>391</v>
      </c>
      <c r="E198">
        <v>1</v>
      </c>
      <c r="F198">
        <v>4</v>
      </c>
      <c r="G198">
        <v>0</v>
      </c>
      <c r="H198">
        <v>4</v>
      </c>
      <c r="I198" t="s">
        <v>27</v>
      </c>
      <c r="J198" t="s">
        <v>522</v>
      </c>
    </row>
    <row r="199" spans="1:10">
      <c r="A199" t="s">
        <v>39</v>
      </c>
      <c r="B199" t="s">
        <v>37</v>
      </c>
      <c r="C199" t="s">
        <v>147</v>
      </c>
      <c r="D199" t="s">
        <v>395</v>
      </c>
      <c r="E199">
        <v>1</v>
      </c>
      <c r="F199">
        <v>3.5</v>
      </c>
      <c r="G199">
        <v>1</v>
      </c>
      <c r="H199">
        <v>3</v>
      </c>
      <c r="I199" t="s">
        <v>27</v>
      </c>
    </row>
    <row r="200" spans="1:10">
      <c r="A200" t="s">
        <v>39</v>
      </c>
      <c r="B200" t="s">
        <v>37</v>
      </c>
      <c r="C200" t="s">
        <v>150</v>
      </c>
      <c r="D200" t="s">
        <v>399</v>
      </c>
      <c r="E200">
        <v>1</v>
      </c>
      <c r="F200">
        <v>3</v>
      </c>
      <c r="G200">
        <v>1</v>
      </c>
      <c r="H200">
        <v>4</v>
      </c>
      <c r="I200" t="s">
        <v>27</v>
      </c>
    </row>
    <row r="201" spans="1:10">
      <c r="A201" t="s">
        <v>39</v>
      </c>
      <c r="B201" t="s">
        <v>37</v>
      </c>
      <c r="C201" t="s">
        <v>153</v>
      </c>
      <c r="D201" t="s">
        <v>403</v>
      </c>
      <c r="E201">
        <v>1</v>
      </c>
      <c r="F201">
        <v>4</v>
      </c>
      <c r="G201">
        <v>0.25</v>
      </c>
      <c r="H201">
        <v>4</v>
      </c>
      <c r="I201" t="s">
        <v>27</v>
      </c>
    </row>
    <row r="202" spans="1:10">
      <c r="A202" t="s">
        <v>39</v>
      </c>
      <c r="B202" t="s">
        <v>37</v>
      </c>
      <c r="C202" t="s">
        <v>162</v>
      </c>
      <c r="D202" t="s">
        <v>409</v>
      </c>
      <c r="E202">
        <v>1</v>
      </c>
      <c r="F202">
        <v>4</v>
      </c>
      <c r="G202">
        <v>0</v>
      </c>
      <c r="H202">
        <v>4</v>
      </c>
      <c r="I202" t="s">
        <v>27</v>
      </c>
    </row>
    <row r="203" spans="1:10">
      <c r="A203" t="s">
        <v>39</v>
      </c>
      <c r="B203" t="s">
        <v>37</v>
      </c>
      <c r="C203" t="s">
        <v>165</v>
      </c>
      <c r="D203" t="s">
        <v>413</v>
      </c>
      <c r="E203">
        <v>1</v>
      </c>
      <c r="F203">
        <v>4</v>
      </c>
      <c r="G203">
        <v>1</v>
      </c>
      <c r="H203">
        <v>4</v>
      </c>
      <c r="I203" t="s">
        <v>27</v>
      </c>
    </row>
    <row r="204" spans="1:10">
      <c r="A204" t="s">
        <v>39</v>
      </c>
      <c r="B204" t="s">
        <v>37</v>
      </c>
      <c r="C204" t="s">
        <v>168</v>
      </c>
      <c r="D204" t="s">
        <v>417</v>
      </c>
      <c r="E204">
        <v>1</v>
      </c>
      <c r="F204">
        <v>4</v>
      </c>
      <c r="G204">
        <v>1</v>
      </c>
      <c r="H204">
        <v>3</v>
      </c>
      <c r="I204" t="s">
        <v>27</v>
      </c>
    </row>
    <row r="205" spans="1:10">
      <c r="A205" t="s">
        <v>39</v>
      </c>
      <c r="B205" t="s">
        <v>37</v>
      </c>
      <c r="C205" t="s">
        <v>33</v>
      </c>
      <c r="D205" t="s">
        <v>427</v>
      </c>
      <c r="E205">
        <v>1</v>
      </c>
      <c r="F205">
        <v>4</v>
      </c>
      <c r="G205">
        <v>0</v>
      </c>
      <c r="H205">
        <v>4</v>
      </c>
      <c r="I205" t="s">
        <v>27</v>
      </c>
    </row>
    <row r="206" spans="1:10">
      <c r="A206" t="s">
        <v>39</v>
      </c>
      <c r="B206" t="s">
        <v>37</v>
      </c>
      <c r="C206" t="s">
        <v>35</v>
      </c>
      <c r="D206" t="s">
        <v>433</v>
      </c>
      <c r="E206">
        <v>1</v>
      </c>
      <c r="F206">
        <v>3</v>
      </c>
      <c r="G206">
        <v>1</v>
      </c>
      <c r="H206">
        <v>4</v>
      </c>
      <c r="I206" t="s">
        <v>27</v>
      </c>
    </row>
    <row r="207" spans="1:10">
      <c r="A207" t="s">
        <v>39</v>
      </c>
      <c r="B207" t="s">
        <v>37</v>
      </c>
      <c r="C207" t="s">
        <v>189</v>
      </c>
      <c r="D207" t="s">
        <v>439</v>
      </c>
      <c r="E207">
        <v>1</v>
      </c>
      <c r="F207">
        <v>3</v>
      </c>
      <c r="G207">
        <v>1</v>
      </c>
      <c r="H207">
        <v>3</v>
      </c>
      <c r="I207" t="s">
        <v>86</v>
      </c>
      <c r="J207" t="s">
        <v>523</v>
      </c>
    </row>
    <row r="208" spans="1:10">
      <c r="A208" t="s">
        <v>39</v>
      </c>
      <c r="B208" t="s">
        <v>37</v>
      </c>
      <c r="C208" t="s">
        <v>192</v>
      </c>
      <c r="D208" t="s">
        <v>442</v>
      </c>
      <c r="E208">
        <v>1</v>
      </c>
      <c r="F208">
        <v>4</v>
      </c>
      <c r="G208">
        <v>1</v>
      </c>
      <c r="H208">
        <v>4</v>
      </c>
      <c r="I208" t="s">
        <v>27</v>
      </c>
    </row>
    <row r="209" spans="1:10">
      <c r="A209" t="s">
        <v>40</v>
      </c>
      <c r="B209" t="s">
        <v>37</v>
      </c>
      <c r="C209" t="s">
        <v>54</v>
      </c>
      <c r="D209" t="s">
        <v>306</v>
      </c>
      <c r="E209">
        <v>1</v>
      </c>
      <c r="F209">
        <v>4</v>
      </c>
      <c r="G209">
        <v>0</v>
      </c>
      <c r="H209">
        <v>4</v>
      </c>
      <c r="I209" t="s">
        <v>27</v>
      </c>
    </row>
    <row r="210" spans="1:10">
      <c r="A210" t="s">
        <v>40</v>
      </c>
      <c r="B210" t="s">
        <v>37</v>
      </c>
      <c r="C210" t="s">
        <v>67</v>
      </c>
      <c r="D210" t="s">
        <v>319</v>
      </c>
      <c r="E210">
        <v>1</v>
      </c>
      <c r="F210">
        <v>3</v>
      </c>
      <c r="G210">
        <v>1</v>
      </c>
      <c r="H210">
        <v>4</v>
      </c>
      <c r="I210" t="s">
        <v>27</v>
      </c>
    </row>
    <row r="211" spans="1:10">
      <c r="A211" t="s">
        <v>40</v>
      </c>
      <c r="B211" t="s">
        <v>37</v>
      </c>
      <c r="C211" t="s">
        <v>77</v>
      </c>
      <c r="D211" t="s">
        <v>328</v>
      </c>
      <c r="E211">
        <v>1</v>
      </c>
      <c r="F211">
        <v>4</v>
      </c>
      <c r="G211">
        <v>0</v>
      </c>
      <c r="H211">
        <v>4</v>
      </c>
      <c r="I211" t="s">
        <v>27</v>
      </c>
    </row>
    <row r="212" spans="1:10">
      <c r="A212" t="s">
        <v>40</v>
      </c>
      <c r="B212" t="s">
        <v>37</v>
      </c>
      <c r="C212" t="s">
        <v>83</v>
      </c>
      <c r="D212" t="s">
        <v>335</v>
      </c>
      <c r="E212">
        <v>1</v>
      </c>
      <c r="F212">
        <v>3</v>
      </c>
      <c r="G212">
        <v>1</v>
      </c>
      <c r="H212">
        <v>3</v>
      </c>
      <c r="I212" t="s">
        <v>27</v>
      </c>
    </row>
    <row r="213" spans="1:10">
      <c r="A213" t="s">
        <v>40</v>
      </c>
      <c r="B213" t="s">
        <v>37</v>
      </c>
      <c r="C213" t="s">
        <v>94</v>
      </c>
      <c r="D213" t="s">
        <v>342</v>
      </c>
      <c r="E213">
        <v>1</v>
      </c>
      <c r="F213">
        <v>4</v>
      </c>
      <c r="G213">
        <v>0</v>
      </c>
      <c r="H213">
        <v>4</v>
      </c>
      <c r="I213" t="s">
        <v>27</v>
      </c>
      <c r="J213" t="s">
        <v>524</v>
      </c>
    </row>
    <row r="214" spans="1:10">
      <c r="A214" t="s">
        <v>40</v>
      </c>
      <c r="B214" t="s">
        <v>37</v>
      </c>
      <c r="C214" t="s">
        <v>97</v>
      </c>
      <c r="D214" t="s">
        <v>347</v>
      </c>
      <c r="E214">
        <v>1</v>
      </c>
      <c r="F214">
        <v>3.5</v>
      </c>
      <c r="G214">
        <v>1</v>
      </c>
      <c r="H214">
        <v>4</v>
      </c>
      <c r="I214" t="s">
        <v>27</v>
      </c>
    </row>
    <row r="215" spans="1:10">
      <c r="A215" t="s">
        <v>40</v>
      </c>
      <c r="B215" t="s">
        <v>37</v>
      </c>
      <c r="C215" t="s">
        <v>100</v>
      </c>
      <c r="D215" t="s">
        <v>351</v>
      </c>
      <c r="E215">
        <v>1</v>
      </c>
      <c r="F215">
        <v>4</v>
      </c>
      <c r="G215">
        <v>1</v>
      </c>
      <c r="H215">
        <v>4</v>
      </c>
      <c r="I215" t="s">
        <v>27</v>
      </c>
    </row>
    <row r="216" spans="1:10">
      <c r="A216" t="s">
        <v>40</v>
      </c>
      <c r="B216" t="s">
        <v>37</v>
      </c>
      <c r="C216" t="s">
        <v>106</v>
      </c>
      <c r="D216" t="s">
        <v>358</v>
      </c>
      <c r="E216">
        <v>1</v>
      </c>
      <c r="F216">
        <v>4</v>
      </c>
      <c r="G216">
        <v>0</v>
      </c>
      <c r="H216">
        <v>3</v>
      </c>
      <c r="I216" t="s">
        <v>86</v>
      </c>
      <c r="J216" t="s">
        <v>525</v>
      </c>
    </row>
    <row r="217" spans="1:10">
      <c r="A217" t="s">
        <v>40</v>
      </c>
      <c r="B217" t="s">
        <v>37</v>
      </c>
      <c r="C217" t="s">
        <v>113</v>
      </c>
      <c r="D217" t="s">
        <v>366</v>
      </c>
      <c r="E217">
        <v>0.917</v>
      </c>
      <c r="F217">
        <v>3</v>
      </c>
      <c r="G217">
        <v>1</v>
      </c>
      <c r="H217">
        <v>3</v>
      </c>
      <c r="I217" t="s">
        <v>27</v>
      </c>
    </row>
    <row r="218" spans="1:10">
      <c r="A218" t="s">
        <v>40</v>
      </c>
      <c r="B218" t="s">
        <v>37</v>
      </c>
      <c r="C218" t="s">
        <v>119</v>
      </c>
      <c r="D218" t="s">
        <v>372</v>
      </c>
      <c r="E218">
        <v>1</v>
      </c>
      <c r="F218">
        <v>3.5</v>
      </c>
      <c r="G218">
        <v>1</v>
      </c>
      <c r="H218">
        <v>4</v>
      </c>
      <c r="I218" t="s">
        <v>27</v>
      </c>
    </row>
    <row r="219" spans="1:10">
      <c r="A219" t="s">
        <v>40</v>
      </c>
      <c r="B219" t="s">
        <v>37</v>
      </c>
      <c r="C219" t="s">
        <v>122</v>
      </c>
      <c r="D219" t="s">
        <v>376</v>
      </c>
      <c r="E219">
        <v>1</v>
      </c>
      <c r="F219">
        <v>3</v>
      </c>
      <c r="G219">
        <v>1</v>
      </c>
      <c r="H219">
        <v>4</v>
      </c>
      <c r="I219" t="s">
        <v>27</v>
      </c>
    </row>
    <row r="220" spans="1:10">
      <c r="A220" t="s">
        <v>40</v>
      </c>
      <c r="B220" t="s">
        <v>37</v>
      </c>
      <c r="C220" t="s">
        <v>141</v>
      </c>
      <c r="D220" t="s">
        <v>387</v>
      </c>
      <c r="E220">
        <v>1</v>
      </c>
      <c r="F220">
        <v>3</v>
      </c>
      <c r="G220">
        <v>0.25</v>
      </c>
      <c r="H220">
        <v>4</v>
      </c>
      <c r="I220" t="s">
        <v>27</v>
      </c>
    </row>
    <row r="221" spans="1:10">
      <c r="A221" t="s">
        <v>40</v>
      </c>
      <c r="B221" t="s">
        <v>37</v>
      </c>
      <c r="C221" t="s">
        <v>144</v>
      </c>
      <c r="D221" t="s">
        <v>391</v>
      </c>
      <c r="E221">
        <v>1</v>
      </c>
      <c r="F221">
        <v>4</v>
      </c>
      <c r="G221">
        <v>0</v>
      </c>
      <c r="H221">
        <v>4</v>
      </c>
      <c r="I221" t="s">
        <v>27</v>
      </c>
    </row>
    <row r="222" spans="1:10">
      <c r="A222" t="s">
        <v>40</v>
      </c>
      <c r="B222" t="s">
        <v>37</v>
      </c>
      <c r="C222" t="s">
        <v>147</v>
      </c>
      <c r="D222" t="s">
        <v>395</v>
      </c>
      <c r="E222">
        <v>1</v>
      </c>
      <c r="F222">
        <v>3.5</v>
      </c>
      <c r="G222">
        <v>1</v>
      </c>
      <c r="H222">
        <v>3</v>
      </c>
      <c r="I222" t="s">
        <v>27</v>
      </c>
    </row>
    <row r="223" spans="1:10">
      <c r="A223" t="s">
        <v>40</v>
      </c>
      <c r="B223" t="s">
        <v>37</v>
      </c>
      <c r="C223" t="s">
        <v>150</v>
      </c>
      <c r="D223" t="s">
        <v>399</v>
      </c>
      <c r="E223">
        <v>1</v>
      </c>
      <c r="F223">
        <v>3</v>
      </c>
      <c r="G223">
        <v>1</v>
      </c>
      <c r="H223">
        <v>4</v>
      </c>
      <c r="I223" t="s">
        <v>27</v>
      </c>
    </row>
    <row r="224" spans="1:10">
      <c r="A224" t="s">
        <v>40</v>
      </c>
      <c r="B224" t="s">
        <v>37</v>
      </c>
      <c r="C224" t="s">
        <v>153</v>
      </c>
      <c r="D224" t="s">
        <v>403</v>
      </c>
      <c r="E224">
        <v>1</v>
      </c>
      <c r="F224">
        <v>4</v>
      </c>
      <c r="G224">
        <v>0.25</v>
      </c>
      <c r="H224">
        <v>4</v>
      </c>
      <c r="I224" t="s">
        <v>27</v>
      </c>
    </row>
    <row r="225" spans="1:10">
      <c r="A225" t="s">
        <v>40</v>
      </c>
      <c r="B225" t="s">
        <v>37</v>
      </c>
      <c r="C225" t="s">
        <v>162</v>
      </c>
      <c r="D225" t="s">
        <v>409</v>
      </c>
      <c r="E225">
        <v>1</v>
      </c>
      <c r="F225">
        <v>4</v>
      </c>
      <c r="G225">
        <v>0</v>
      </c>
      <c r="H225">
        <v>4</v>
      </c>
      <c r="I225" t="s">
        <v>27</v>
      </c>
    </row>
    <row r="226" spans="1:10">
      <c r="A226" t="s">
        <v>40</v>
      </c>
      <c r="B226" t="s">
        <v>37</v>
      </c>
      <c r="C226" t="s">
        <v>165</v>
      </c>
      <c r="D226" t="s">
        <v>413</v>
      </c>
      <c r="E226">
        <v>1</v>
      </c>
      <c r="F226">
        <v>4</v>
      </c>
      <c r="G226">
        <v>1</v>
      </c>
      <c r="H226">
        <v>4</v>
      </c>
      <c r="I226" t="s">
        <v>27</v>
      </c>
    </row>
    <row r="227" spans="1:10">
      <c r="A227" t="s">
        <v>40</v>
      </c>
      <c r="B227" t="s">
        <v>37</v>
      </c>
      <c r="C227" t="s">
        <v>168</v>
      </c>
      <c r="D227" t="s">
        <v>417</v>
      </c>
      <c r="E227">
        <v>1</v>
      </c>
      <c r="F227">
        <v>4</v>
      </c>
      <c r="G227">
        <v>1</v>
      </c>
      <c r="H227">
        <v>4</v>
      </c>
      <c r="I227" t="s">
        <v>27</v>
      </c>
    </row>
    <row r="228" spans="1:10">
      <c r="A228" t="s">
        <v>40</v>
      </c>
      <c r="B228" t="s">
        <v>37</v>
      </c>
      <c r="C228" t="s">
        <v>33</v>
      </c>
      <c r="D228" t="s">
        <v>427</v>
      </c>
      <c r="E228">
        <v>1</v>
      </c>
      <c r="F228">
        <v>4</v>
      </c>
      <c r="G228">
        <v>0</v>
      </c>
      <c r="H228">
        <v>4</v>
      </c>
      <c r="I228" t="s">
        <v>27</v>
      </c>
      <c r="J228" t="s">
        <v>526</v>
      </c>
    </row>
    <row r="229" spans="1:10">
      <c r="A229" t="s">
        <v>40</v>
      </c>
      <c r="B229" t="s">
        <v>37</v>
      </c>
      <c r="C229" t="s">
        <v>35</v>
      </c>
      <c r="D229" t="s">
        <v>433</v>
      </c>
      <c r="E229">
        <v>1</v>
      </c>
      <c r="F229">
        <v>3</v>
      </c>
      <c r="G229">
        <v>1</v>
      </c>
      <c r="H229">
        <v>4</v>
      </c>
      <c r="I229" t="s">
        <v>27</v>
      </c>
    </row>
    <row r="230" spans="1:10">
      <c r="A230" t="s">
        <v>40</v>
      </c>
      <c r="B230" t="s">
        <v>37</v>
      </c>
      <c r="C230" t="s">
        <v>189</v>
      </c>
      <c r="D230" t="s">
        <v>439</v>
      </c>
      <c r="E230">
        <v>1</v>
      </c>
      <c r="F230">
        <v>3</v>
      </c>
      <c r="G230">
        <v>1</v>
      </c>
      <c r="H230">
        <v>3</v>
      </c>
      <c r="I230" t="s">
        <v>86</v>
      </c>
      <c r="J230" t="s">
        <v>527</v>
      </c>
    </row>
    <row r="231" spans="1:10">
      <c r="A231" t="s">
        <v>40</v>
      </c>
      <c r="B231" t="s">
        <v>37</v>
      </c>
      <c r="C231" t="s">
        <v>192</v>
      </c>
      <c r="D231" t="s">
        <v>442</v>
      </c>
      <c r="E231">
        <v>1</v>
      </c>
      <c r="F231">
        <v>4</v>
      </c>
      <c r="G231">
        <v>1</v>
      </c>
      <c r="H231">
        <v>4</v>
      </c>
      <c r="I231" t="s">
        <v>27</v>
      </c>
    </row>
    <row r="232" spans="1:10">
      <c r="A232" t="s">
        <v>41</v>
      </c>
      <c r="B232" t="s">
        <v>37</v>
      </c>
      <c r="C232" t="s">
        <v>54</v>
      </c>
      <c r="D232" t="s">
        <v>306</v>
      </c>
      <c r="E232">
        <v>1</v>
      </c>
      <c r="F232">
        <v>4</v>
      </c>
      <c r="G232">
        <v>0</v>
      </c>
      <c r="H232">
        <v>4</v>
      </c>
      <c r="I232" t="s">
        <v>27</v>
      </c>
      <c r="J232" t="s">
        <v>528</v>
      </c>
    </row>
    <row r="233" spans="1:10">
      <c r="A233" t="s">
        <v>41</v>
      </c>
      <c r="B233" t="s">
        <v>37</v>
      </c>
      <c r="C233" t="s">
        <v>67</v>
      </c>
      <c r="D233" t="s">
        <v>319</v>
      </c>
      <c r="E233">
        <v>1</v>
      </c>
      <c r="F233">
        <v>3</v>
      </c>
      <c r="G233">
        <v>1</v>
      </c>
      <c r="H233">
        <v>4</v>
      </c>
      <c r="I233" t="s">
        <v>27</v>
      </c>
    </row>
    <row r="234" spans="1:10">
      <c r="A234" t="s">
        <v>41</v>
      </c>
      <c r="B234" t="s">
        <v>37</v>
      </c>
      <c r="C234" t="s">
        <v>77</v>
      </c>
      <c r="D234" t="s">
        <v>328</v>
      </c>
      <c r="E234">
        <v>1</v>
      </c>
      <c r="F234">
        <v>4</v>
      </c>
      <c r="G234">
        <v>0</v>
      </c>
      <c r="H234">
        <v>4</v>
      </c>
      <c r="I234" t="s">
        <v>27</v>
      </c>
    </row>
    <row r="235" spans="1:10">
      <c r="A235" t="s">
        <v>41</v>
      </c>
      <c r="B235" t="s">
        <v>37</v>
      </c>
      <c r="C235" t="s">
        <v>83</v>
      </c>
      <c r="D235" t="s">
        <v>335</v>
      </c>
      <c r="E235">
        <v>1</v>
      </c>
      <c r="F235">
        <v>3</v>
      </c>
      <c r="G235">
        <v>1</v>
      </c>
      <c r="H235">
        <v>4</v>
      </c>
      <c r="I235" t="s">
        <v>27</v>
      </c>
    </row>
    <row r="236" spans="1:10">
      <c r="A236" t="s">
        <v>41</v>
      </c>
      <c r="B236" t="s">
        <v>37</v>
      </c>
      <c r="C236" t="s">
        <v>94</v>
      </c>
      <c r="D236" t="s">
        <v>342</v>
      </c>
      <c r="E236">
        <v>1</v>
      </c>
      <c r="F236">
        <v>4</v>
      </c>
      <c r="G236">
        <v>0</v>
      </c>
      <c r="H236">
        <v>4</v>
      </c>
      <c r="I236" t="s">
        <v>27</v>
      </c>
    </row>
    <row r="237" spans="1:10">
      <c r="A237" t="s">
        <v>41</v>
      </c>
      <c r="B237" t="s">
        <v>37</v>
      </c>
      <c r="C237" t="s">
        <v>97</v>
      </c>
      <c r="D237" t="s">
        <v>347</v>
      </c>
      <c r="E237">
        <v>1</v>
      </c>
      <c r="F237">
        <v>3.5</v>
      </c>
      <c r="G237">
        <v>1</v>
      </c>
      <c r="H237">
        <v>4</v>
      </c>
      <c r="I237" t="s">
        <v>27</v>
      </c>
    </row>
    <row r="238" spans="1:10">
      <c r="A238" t="s">
        <v>41</v>
      </c>
      <c r="B238" t="s">
        <v>37</v>
      </c>
      <c r="C238" t="s">
        <v>100</v>
      </c>
      <c r="D238" t="s">
        <v>351</v>
      </c>
      <c r="E238">
        <v>1</v>
      </c>
      <c r="F238">
        <v>4</v>
      </c>
      <c r="G238">
        <v>1</v>
      </c>
      <c r="H238">
        <v>4</v>
      </c>
      <c r="I238" t="s">
        <v>27</v>
      </c>
    </row>
    <row r="239" spans="1:10">
      <c r="A239" t="s">
        <v>41</v>
      </c>
      <c r="B239" t="s">
        <v>37</v>
      </c>
      <c r="C239" t="s">
        <v>106</v>
      </c>
      <c r="D239" t="s">
        <v>358</v>
      </c>
      <c r="E239">
        <v>1</v>
      </c>
      <c r="F239">
        <v>4</v>
      </c>
      <c r="G239">
        <v>0</v>
      </c>
      <c r="H239">
        <v>4</v>
      </c>
      <c r="I239" t="s">
        <v>27</v>
      </c>
    </row>
    <row r="240" spans="1:10">
      <c r="A240" t="s">
        <v>41</v>
      </c>
      <c r="B240" t="s">
        <v>37</v>
      </c>
      <c r="C240" t="s">
        <v>113</v>
      </c>
      <c r="D240" t="s">
        <v>366</v>
      </c>
      <c r="E240">
        <v>0.917</v>
      </c>
      <c r="F240">
        <v>3</v>
      </c>
      <c r="G240">
        <v>1</v>
      </c>
      <c r="H240">
        <v>3</v>
      </c>
      <c r="I240" t="s">
        <v>27</v>
      </c>
    </row>
    <row r="241" spans="1:10">
      <c r="A241" t="s">
        <v>41</v>
      </c>
      <c r="B241" t="s">
        <v>37</v>
      </c>
      <c r="C241" t="s">
        <v>119</v>
      </c>
      <c r="D241" t="s">
        <v>372</v>
      </c>
      <c r="E241">
        <v>1</v>
      </c>
      <c r="F241">
        <v>3.5</v>
      </c>
      <c r="G241">
        <v>1</v>
      </c>
      <c r="H241">
        <v>4</v>
      </c>
      <c r="I241" t="s">
        <v>27</v>
      </c>
    </row>
    <row r="242" spans="1:10">
      <c r="A242" t="s">
        <v>41</v>
      </c>
      <c r="B242" t="s">
        <v>37</v>
      </c>
      <c r="C242" t="s">
        <v>122</v>
      </c>
      <c r="D242" t="s">
        <v>376</v>
      </c>
      <c r="E242">
        <v>1</v>
      </c>
      <c r="F242">
        <v>3</v>
      </c>
      <c r="G242">
        <v>1</v>
      </c>
      <c r="H242">
        <v>4</v>
      </c>
      <c r="I242" t="s">
        <v>27</v>
      </c>
      <c r="J242" t="s">
        <v>529</v>
      </c>
    </row>
    <row r="243" spans="1:10">
      <c r="A243" t="s">
        <v>41</v>
      </c>
      <c r="B243" t="s">
        <v>37</v>
      </c>
      <c r="C243" t="s">
        <v>141</v>
      </c>
      <c r="D243" t="s">
        <v>387</v>
      </c>
      <c r="E243">
        <v>1</v>
      </c>
      <c r="F243">
        <v>3</v>
      </c>
      <c r="G243">
        <v>0.25</v>
      </c>
      <c r="H243">
        <v>4</v>
      </c>
      <c r="I243" t="s">
        <v>27</v>
      </c>
    </row>
    <row r="244" spans="1:10">
      <c r="A244" t="s">
        <v>41</v>
      </c>
      <c r="B244" t="s">
        <v>37</v>
      </c>
      <c r="C244" t="s">
        <v>144</v>
      </c>
      <c r="D244" t="s">
        <v>391</v>
      </c>
      <c r="E244">
        <v>1</v>
      </c>
      <c r="F244">
        <v>4</v>
      </c>
      <c r="G244">
        <v>0</v>
      </c>
      <c r="H244">
        <v>4</v>
      </c>
      <c r="I244" t="s">
        <v>27</v>
      </c>
    </row>
    <row r="245" spans="1:10">
      <c r="A245" t="s">
        <v>41</v>
      </c>
      <c r="B245" t="s">
        <v>37</v>
      </c>
      <c r="C245" t="s">
        <v>147</v>
      </c>
      <c r="D245" t="s">
        <v>395</v>
      </c>
      <c r="E245">
        <v>1</v>
      </c>
      <c r="F245">
        <v>3.5</v>
      </c>
      <c r="G245">
        <v>1</v>
      </c>
      <c r="H245">
        <v>3</v>
      </c>
      <c r="I245" t="s">
        <v>27</v>
      </c>
    </row>
    <row r="246" spans="1:10">
      <c r="A246" t="s">
        <v>41</v>
      </c>
      <c r="B246" t="s">
        <v>37</v>
      </c>
      <c r="C246" t="s">
        <v>150</v>
      </c>
      <c r="D246" t="s">
        <v>399</v>
      </c>
      <c r="E246">
        <v>1</v>
      </c>
      <c r="F246">
        <v>3</v>
      </c>
      <c r="G246">
        <v>1</v>
      </c>
      <c r="H246">
        <v>3</v>
      </c>
      <c r="I246" t="s">
        <v>27</v>
      </c>
    </row>
    <row r="247" spans="1:10">
      <c r="A247" t="s">
        <v>41</v>
      </c>
      <c r="B247" t="s">
        <v>37</v>
      </c>
      <c r="C247" t="s">
        <v>153</v>
      </c>
      <c r="D247" t="s">
        <v>403</v>
      </c>
      <c r="E247">
        <v>1</v>
      </c>
      <c r="F247">
        <v>4</v>
      </c>
      <c r="G247">
        <v>0.25</v>
      </c>
      <c r="H247">
        <v>4</v>
      </c>
      <c r="I247" t="s">
        <v>27</v>
      </c>
    </row>
    <row r="248" spans="1:10">
      <c r="A248" t="s">
        <v>41</v>
      </c>
      <c r="B248" t="s">
        <v>37</v>
      </c>
      <c r="C248" t="s">
        <v>162</v>
      </c>
      <c r="D248" t="s">
        <v>409</v>
      </c>
      <c r="E248">
        <v>1</v>
      </c>
      <c r="F248">
        <v>4</v>
      </c>
      <c r="G248">
        <v>0</v>
      </c>
      <c r="H248">
        <v>4</v>
      </c>
      <c r="I248" t="s">
        <v>27</v>
      </c>
      <c r="J248" t="s">
        <v>530</v>
      </c>
    </row>
    <row r="249" spans="1:10">
      <c r="A249" t="s">
        <v>41</v>
      </c>
      <c r="B249" t="s">
        <v>37</v>
      </c>
      <c r="C249" t="s">
        <v>165</v>
      </c>
      <c r="D249" t="s">
        <v>413</v>
      </c>
      <c r="E249">
        <v>1</v>
      </c>
      <c r="F249">
        <v>4</v>
      </c>
      <c r="G249">
        <v>1</v>
      </c>
      <c r="H249">
        <v>4</v>
      </c>
      <c r="I249" t="s">
        <v>27</v>
      </c>
    </row>
    <row r="250" spans="1:10">
      <c r="A250" t="s">
        <v>41</v>
      </c>
      <c r="B250" t="s">
        <v>37</v>
      </c>
      <c r="C250" t="s">
        <v>168</v>
      </c>
      <c r="D250" t="s">
        <v>417</v>
      </c>
      <c r="E250">
        <v>1</v>
      </c>
      <c r="F250">
        <v>4</v>
      </c>
      <c r="G250">
        <v>1</v>
      </c>
      <c r="H250">
        <v>4</v>
      </c>
      <c r="I250" t="s">
        <v>27</v>
      </c>
      <c r="J250" t="s">
        <v>531</v>
      </c>
    </row>
    <row r="251" spans="1:10">
      <c r="A251" t="s">
        <v>41</v>
      </c>
      <c r="B251" t="s">
        <v>37</v>
      </c>
      <c r="C251" t="s">
        <v>33</v>
      </c>
      <c r="D251" t="s">
        <v>427</v>
      </c>
      <c r="E251">
        <v>1</v>
      </c>
      <c r="F251">
        <v>4</v>
      </c>
      <c r="G251">
        <v>0</v>
      </c>
      <c r="H251">
        <v>4</v>
      </c>
      <c r="I251" t="s">
        <v>27</v>
      </c>
    </row>
    <row r="252" spans="1:10">
      <c r="A252" t="s">
        <v>41</v>
      </c>
      <c r="B252" t="s">
        <v>37</v>
      </c>
      <c r="C252" t="s">
        <v>35</v>
      </c>
      <c r="D252" t="s">
        <v>433</v>
      </c>
      <c r="E252">
        <v>1</v>
      </c>
      <c r="F252">
        <v>3</v>
      </c>
      <c r="G252">
        <v>1</v>
      </c>
      <c r="H252">
        <v>4</v>
      </c>
      <c r="I252" t="s">
        <v>27</v>
      </c>
    </row>
    <row r="253" spans="1:10">
      <c r="A253" t="s">
        <v>41</v>
      </c>
      <c r="B253" t="s">
        <v>37</v>
      </c>
      <c r="C253" t="s">
        <v>189</v>
      </c>
      <c r="D253" t="s">
        <v>439</v>
      </c>
      <c r="E253">
        <v>1</v>
      </c>
      <c r="F253">
        <v>3</v>
      </c>
      <c r="G253">
        <v>1</v>
      </c>
      <c r="H253">
        <v>3</v>
      </c>
      <c r="I253" t="s">
        <v>86</v>
      </c>
      <c r="J253" t="s">
        <v>532</v>
      </c>
    </row>
    <row r="254" spans="1:10">
      <c r="A254" t="s">
        <v>41</v>
      </c>
      <c r="B254" t="s">
        <v>37</v>
      </c>
      <c r="C254" t="s">
        <v>192</v>
      </c>
      <c r="D254" t="s">
        <v>442</v>
      </c>
      <c r="E254">
        <v>1</v>
      </c>
      <c r="F254">
        <v>4</v>
      </c>
      <c r="G254">
        <v>1</v>
      </c>
      <c r="H254">
        <v>4</v>
      </c>
      <c r="I254" t="s">
        <v>27</v>
      </c>
    </row>
    <row r="255" spans="1:10">
      <c r="A255" t="s">
        <v>42</v>
      </c>
      <c r="B255" t="s">
        <v>37</v>
      </c>
      <c r="C255" t="s">
        <v>54</v>
      </c>
      <c r="D255" t="s">
        <v>306</v>
      </c>
      <c r="E255">
        <v>1</v>
      </c>
      <c r="F255">
        <v>4</v>
      </c>
      <c r="G255">
        <v>0</v>
      </c>
      <c r="H255">
        <v>4</v>
      </c>
      <c r="I255" t="s">
        <v>27</v>
      </c>
    </row>
    <row r="256" spans="1:10">
      <c r="A256" t="s">
        <v>42</v>
      </c>
      <c r="B256" t="s">
        <v>37</v>
      </c>
      <c r="C256" t="s">
        <v>67</v>
      </c>
      <c r="D256" t="s">
        <v>319</v>
      </c>
      <c r="E256">
        <v>1</v>
      </c>
      <c r="F256">
        <v>3</v>
      </c>
      <c r="G256">
        <v>1</v>
      </c>
      <c r="H256">
        <v>4</v>
      </c>
      <c r="I256" t="s">
        <v>27</v>
      </c>
    </row>
    <row r="257" spans="1:10">
      <c r="A257" t="s">
        <v>42</v>
      </c>
      <c r="B257" t="s">
        <v>37</v>
      </c>
      <c r="C257" t="s">
        <v>77</v>
      </c>
      <c r="D257" t="s">
        <v>328</v>
      </c>
      <c r="E257">
        <v>1</v>
      </c>
      <c r="F257">
        <v>4</v>
      </c>
      <c r="G257">
        <v>0</v>
      </c>
      <c r="H257">
        <v>4</v>
      </c>
      <c r="I257" t="s">
        <v>27</v>
      </c>
    </row>
    <row r="258" spans="1:10">
      <c r="A258" t="s">
        <v>42</v>
      </c>
      <c r="B258" t="s">
        <v>37</v>
      </c>
      <c r="C258" t="s">
        <v>83</v>
      </c>
      <c r="D258" t="s">
        <v>335</v>
      </c>
      <c r="E258">
        <v>1</v>
      </c>
      <c r="F258">
        <v>3</v>
      </c>
      <c r="G258">
        <v>1</v>
      </c>
      <c r="H258">
        <v>3</v>
      </c>
      <c r="I258" t="s">
        <v>27</v>
      </c>
    </row>
    <row r="259" spans="1:10">
      <c r="A259" t="s">
        <v>42</v>
      </c>
      <c r="B259" t="s">
        <v>37</v>
      </c>
      <c r="C259" t="s">
        <v>94</v>
      </c>
      <c r="D259" t="s">
        <v>342</v>
      </c>
      <c r="E259">
        <v>1</v>
      </c>
      <c r="F259">
        <v>4</v>
      </c>
      <c r="G259">
        <v>0</v>
      </c>
      <c r="H259">
        <v>4</v>
      </c>
      <c r="I259" t="s">
        <v>27</v>
      </c>
    </row>
    <row r="260" spans="1:10">
      <c r="A260" t="s">
        <v>42</v>
      </c>
      <c r="B260" t="s">
        <v>37</v>
      </c>
      <c r="C260" t="s">
        <v>97</v>
      </c>
      <c r="D260" t="s">
        <v>347</v>
      </c>
      <c r="E260">
        <v>1</v>
      </c>
      <c r="F260">
        <v>3.5</v>
      </c>
      <c r="G260">
        <v>1</v>
      </c>
      <c r="H260">
        <v>4</v>
      </c>
      <c r="I260" t="s">
        <v>27</v>
      </c>
    </row>
    <row r="261" spans="1:10">
      <c r="A261" t="s">
        <v>42</v>
      </c>
      <c r="B261" t="s">
        <v>37</v>
      </c>
      <c r="C261" t="s">
        <v>100</v>
      </c>
      <c r="D261" t="s">
        <v>351</v>
      </c>
      <c r="E261">
        <v>1</v>
      </c>
      <c r="F261">
        <v>4</v>
      </c>
      <c r="G261">
        <v>1</v>
      </c>
      <c r="H261">
        <v>4</v>
      </c>
      <c r="I261" t="s">
        <v>27</v>
      </c>
    </row>
    <row r="262" spans="1:10">
      <c r="A262" t="s">
        <v>42</v>
      </c>
      <c r="B262" t="s">
        <v>37</v>
      </c>
      <c r="C262" t="s">
        <v>106</v>
      </c>
      <c r="D262" t="s">
        <v>358</v>
      </c>
      <c r="E262">
        <v>1</v>
      </c>
      <c r="F262">
        <v>4</v>
      </c>
      <c r="G262">
        <v>0</v>
      </c>
      <c r="H262">
        <v>4</v>
      </c>
      <c r="I262" t="s">
        <v>27</v>
      </c>
    </row>
    <row r="263" spans="1:10">
      <c r="A263" t="s">
        <v>42</v>
      </c>
      <c r="B263" t="s">
        <v>37</v>
      </c>
      <c r="C263" t="s">
        <v>113</v>
      </c>
      <c r="D263" t="s">
        <v>366</v>
      </c>
      <c r="E263">
        <v>0.917</v>
      </c>
      <c r="F263">
        <v>3</v>
      </c>
      <c r="G263">
        <v>1</v>
      </c>
      <c r="H263">
        <v>4</v>
      </c>
      <c r="I263" t="s">
        <v>27</v>
      </c>
      <c r="J263" t="s">
        <v>533</v>
      </c>
    </row>
    <row r="264" spans="1:10">
      <c r="A264" t="s">
        <v>42</v>
      </c>
      <c r="B264" t="s">
        <v>37</v>
      </c>
      <c r="C264" t="s">
        <v>119</v>
      </c>
      <c r="D264" t="s">
        <v>372</v>
      </c>
      <c r="E264">
        <v>1</v>
      </c>
      <c r="F264">
        <v>3.5</v>
      </c>
      <c r="G264">
        <v>1</v>
      </c>
      <c r="H264">
        <v>4</v>
      </c>
      <c r="I264" t="s">
        <v>27</v>
      </c>
      <c r="J264" t="s">
        <v>534</v>
      </c>
    </row>
    <row r="265" spans="1:10">
      <c r="A265" t="s">
        <v>42</v>
      </c>
      <c r="B265" t="s">
        <v>37</v>
      </c>
      <c r="C265" t="s">
        <v>122</v>
      </c>
      <c r="D265" t="s">
        <v>376</v>
      </c>
      <c r="E265">
        <v>1</v>
      </c>
      <c r="F265">
        <v>3</v>
      </c>
      <c r="G265">
        <v>1</v>
      </c>
      <c r="H265">
        <v>4</v>
      </c>
      <c r="I265" t="s">
        <v>27</v>
      </c>
    </row>
    <row r="266" spans="1:10">
      <c r="A266" t="s">
        <v>42</v>
      </c>
      <c r="B266" t="s">
        <v>37</v>
      </c>
      <c r="C266" t="s">
        <v>141</v>
      </c>
      <c r="D266" t="s">
        <v>387</v>
      </c>
      <c r="E266">
        <v>1</v>
      </c>
      <c r="F266">
        <v>3</v>
      </c>
      <c r="G266">
        <v>0.25</v>
      </c>
      <c r="H266">
        <v>4</v>
      </c>
      <c r="I266" t="s">
        <v>27</v>
      </c>
    </row>
    <row r="267" spans="1:10">
      <c r="A267" t="s">
        <v>42</v>
      </c>
      <c r="B267" t="s">
        <v>37</v>
      </c>
      <c r="C267" t="s">
        <v>144</v>
      </c>
      <c r="D267" t="s">
        <v>391</v>
      </c>
      <c r="E267">
        <v>1</v>
      </c>
      <c r="F267">
        <v>4</v>
      </c>
      <c r="G267">
        <v>0</v>
      </c>
      <c r="H267">
        <v>3</v>
      </c>
      <c r="I267" t="s">
        <v>27</v>
      </c>
    </row>
    <row r="268" spans="1:10">
      <c r="A268" t="s">
        <v>42</v>
      </c>
      <c r="B268" t="s">
        <v>37</v>
      </c>
      <c r="C268" t="s">
        <v>147</v>
      </c>
      <c r="D268" t="s">
        <v>395</v>
      </c>
      <c r="E268">
        <v>1</v>
      </c>
      <c r="F268">
        <v>3.5</v>
      </c>
      <c r="G268">
        <v>1</v>
      </c>
      <c r="H268">
        <v>4</v>
      </c>
      <c r="I268" t="s">
        <v>27</v>
      </c>
      <c r="J268" t="s">
        <v>535</v>
      </c>
    </row>
    <row r="269" spans="1:10">
      <c r="A269" t="s">
        <v>42</v>
      </c>
      <c r="B269" t="s">
        <v>37</v>
      </c>
      <c r="C269" t="s">
        <v>150</v>
      </c>
      <c r="D269" t="s">
        <v>399</v>
      </c>
      <c r="E269">
        <v>1</v>
      </c>
      <c r="F269">
        <v>3</v>
      </c>
      <c r="G269">
        <v>1</v>
      </c>
      <c r="H269">
        <v>4</v>
      </c>
      <c r="I269" t="s">
        <v>27</v>
      </c>
      <c r="J269" t="s">
        <v>536</v>
      </c>
    </row>
    <row r="270" spans="1:10">
      <c r="A270" t="s">
        <v>42</v>
      </c>
      <c r="B270" t="s">
        <v>37</v>
      </c>
      <c r="C270" t="s">
        <v>153</v>
      </c>
      <c r="D270" t="s">
        <v>403</v>
      </c>
      <c r="E270">
        <v>1</v>
      </c>
      <c r="F270">
        <v>4</v>
      </c>
      <c r="G270">
        <v>0.25</v>
      </c>
      <c r="H270">
        <v>4</v>
      </c>
      <c r="I270" t="s">
        <v>27</v>
      </c>
    </row>
    <row r="271" spans="1:10">
      <c r="A271" t="s">
        <v>42</v>
      </c>
      <c r="B271" t="s">
        <v>37</v>
      </c>
      <c r="C271" t="s">
        <v>162</v>
      </c>
      <c r="D271" t="s">
        <v>409</v>
      </c>
      <c r="E271">
        <v>1</v>
      </c>
      <c r="F271">
        <v>4</v>
      </c>
      <c r="G271">
        <v>0</v>
      </c>
      <c r="H271">
        <v>4</v>
      </c>
      <c r="I271" t="s">
        <v>27</v>
      </c>
    </row>
    <row r="272" spans="1:10">
      <c r="A272" t="s">
        <v>42</v>
      </c>
      <c r="B272" t="s">
        <v>37</v>
      </c>
      <c r="C272" t="s">
        <v>165</v>
      </c>
      <c r="D272" t="s">
        <v>413</v>
      </c>
      <c r="E272">
        <v>1</v>
      </c>
      <c r="F272">
        <v>4</v>
      </c>
      <c r="G272">
        <v>1</v>
      </c>
      <c r="H272">
        <v>4</v>
      </c>
      <c r="I272" t="s">
        <v>27</v>
      </c>
    </row>
    <row r="273" spans="1:10">
      <c r="A273" t="s">
        <v>42</v>
      </c>
      <c r="B273" t="s">
        <v>37</v>
      </c>
      <c r="C273" t="s">
        <v>168</v>
      </c>
      <c r="D273" t="s">
        <v>417</v>
      </c>
      <c r="E273">
        <v>1</v>
      </c>
      <c r="F273">
        <v>4</v>
      </c>
      <c r="G273">
        <v>1</v>
      </c>
      <c r="H273">
        <v>4</v>
      </c>
      <c r="I273" t="s">
        <v>27</v>
      </c>
    </row>
    <row r="274" spans="1:10">
      <c r="A274" t="s">
        <v>42</v>
      </c>
      <c r="B274" t="s">
        <v>37</v>
      </c>
      <c r="C274" t="s">
        <v>33</v>
      </c>
      <c r="D274" t="s">
        <v>427</v>
      </c>
      <c r="E274">
        <v>1</v>
      </c>
      <c r="F274">
        <v>4</v>
      </c>
      <c r="G274">
        <v>0</v>
      </c>
      <c r="H274">
        <v>4</v>
      </c>
      <c r="I274" t="s">
        <v>27</v>
      </c>
    </row>
    <row r="275" spans="1:10">
      <c r="A275" t="s">
        <v>42</v>
      </c>
      <c r="B275" t="s">
        <v>37</v>
      </c>
      <c r="C275" t="s">
        <v>35</v>
      </c>
      <c r="D275" t="s">
        <v>433</v>
      </c>
      <c r="E275">
        <v>1</v>
      </c>
      <c r="F275">
        <v>3</v>
      </c>
      <c r="G275">
        <v>1</v>
      </c>
      <c r="H275">
        <v>4</v>
      </c>
      <c r="I275" t="s">
        <v>27</v>
      </c>
    </row>
    <row r="276" spans="1:10">
      <c r="A276" t="s">
        <v>42</v>
      </c>
      <c r="B276" t="s">
        <v>37</v>
      </c>
      <c r="C276" t="s">
        <v>189</v>
      </c>
      <c r="D276" t="s">
        <v>439</v>
      </c>
      <c r="E276">
        <v>1</v>
      </c>
      <c r="F276">
        <v>3</v>
      </c>
      <c r="G276">
        <v>1</v>
      </c>
      <c r="H276">
        <v>3</v>
      </c>
      <c r="I276" t="s">
        <v>86</v>
      </c>
      <c r="J276" t="s">
        <v>537</v>
      </c>
    </row>
    <row r="277" spans="1:10">
      <c r="A277" t="s">
        <v>42</v>
      </c>
      <c r="B277" t="s">
        <v>37</v>
      </c>
      <c r="C277" t="s">
        <v>192</v>
      </c>
      <c r="D277" t="s">
        <v>442</v>
      </c>
      <c r="E277">
        <v>1</v>
      </c>
      <c r="F277">
        <v>4</v>
      </c>
      <c r="G277">
        <v>1</v>
      </c>
      <c r="H277">
        <v>4</v>
      </c>
      <c r="I277" t="s">
        <v>27</v>
      </c>
    </row>
  </sheetData>
  <autoFilter xmlns:etc="http://www.wps.cn/officeDocument/2017/etCustomData" ref="A1:J277" etc:filterBottomFollowUsedRange="0">
    <extLst/>
  </autoFilter>
  <dataValidations count="2">
    <dataValidation type="whole" operator="between" allowBlank="1" showInputMessage="1" showErrorMessage="1" errorTitle="无效评分" error="评分只能为1、2、3或4。" promptTitle="请输入1–4" prompt="不要用0；无法判断请留空并在意见栏说明。"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formula1>1</formula1>
      <formula2>4</formula2>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formula1>"是,否,需进一步修改"</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workbookViewId="0">
      <pane xSplit="2" ySplit="1" topLeftCell="C2" activePane="bottomRight" state="frozen"/>
      <selection/>
      <selection pane="topRight"/>
      <selection pane="bottomLeft"/>
      <selection pane="bottomRight" activeCell="A1" sqref="A1"/>
    </sheetView>
  </sheetViews>
  <sheetFormatPr defaultColWidth="9" defaultRowHeight="14.4" outlineLevelCol="7"/>
  <cols>
    <col min="1" max="1" width="13.712962962963" customWidth="1"/>
    <col min="2" max="2" width="16.712962962963" customWidth="1"/>
    <col min="3" max="6" width="35.712962962963" customWidth="1"/>
    <col min="7" max="8" width="14.712962962963" customWidth="1"/>
  </cols>
  <sheetData>
    <row r="1" spans="1:8">
      <c r="A1" s="5" t="s">
        <v>299</v>
      </c>
      <c r="B1" s="5" t="s">
        <v>538</v>
      </c>
      <c r="C1" s="5" t="s">
        <v>539</v>
      </c>
      <c r="D1" s="5" t="s">
        <v>540</v>
      </c>
      <c r="E1" s="5" t="s">
        <v>541</v>
      </c>
      <c r="F1" s="5" t="s">
        <v>542</v>
      </c>
      <c r="G1" s="5" t="s">
        <v>543</v>
      </c>
      <c r="H1" s="5" t="s">
        <v>298</v>
      </c>
    </row>
    <row r="2" ht="28.8" spans="1:8">
      <c r="A2" s="6" t="s">
        <v>28</v>
      </c>
      <c r="B2" s="6" t="s">
        <v>544</v>
      </c>
      <c r="C2" s="6" t="s">
        <v>545</v>
      </c>
      <c r="D2" s="6" t="s">
        <v>546</v>
      </c>
      <c r="E2" s="6" t="s">
        <v>547</v>
      </c>
      <c r="F2" s="6" t="s">
        <v>548</v>
      </c>
      <c r="G2" s="6" t="s">
        <v>308</v>
      </c>
      <c r="H2" s="6" t="s">
        <v>308</v>
      </c>
    </row>
    <row r="3" ht="43.2" spans="1:8">
      <c r="A3" s="6" t="s">
        <v>28</v>
      </c>
      <c r="B3" s="6" t="s">
        <v>549</v>
      </c>
      <c r="C3" s="6" t="s">
        <v>550</v>
      </c>
      <c r="D3" s="6" t="s">
        <v>551</v>
      </c>
      <c r="E3" s="6" t="s">
        <v>552</v>
      </c>
      <c r="F3" s="6" t="s">
        <v>553</v>
      </c>
      <c r="G3" s="6"/>
      <c r="H3" s="6"/>
    </row>
    <row r="4" ht="43.2" spans="1:8">
      <c r="A4" s="6" t="s">
        <v>30</v>
      </c>
      <c r="B4" s="6" t="s">
        <v>554</v>
      </c>
      <c r="C4" s="6" t="s">
        <v>555</v>
      </c>
      <c r="D4" s="6" t="s">
        <v>551</v>
      </c>
      <c r="E4" s="6" t="s">
        <v>556</v>
      </c>
      <c r="F4" s="6" t="s">
        <v>557</v>
      </c>
      <c r="G4" s="6"/>
      <c r="H4" s="6"/>
    </row>
    <row r="5" spans="1:8">
      <c r="A5" s="6"/>
      <c r="B5" s="6"/>
      <c r="C5" s="6"/>
      <c r="D5" s="6"/>
      <c r="E5" s="6"/>
      <c r="F5" s="6"/>
      <c r="G5" s="6"/>
      <c r="H5" s="6"/>
    </row>
    <row r="6" spans="1:8">
      <c r="A6" s="6"/>
      <c r="B6" s="6"/>
      <c r="C6" s="6"/>
      <c r="D6" s="6"/>
      <c r="E6" s="6"/>
      <c r="F6" s="6"/>
      <c r="G6" s="6"/>
      <c r="H6" s="6"/>
    </row>
    <row r="7" spans="1:8">
      <c r="A7" s="6"/>
      <c r="B7" s="6"/>
      <c r="C7" s="6"/>
      <c r="D7" s="6"/>
      <c r="E7" s="6"/>
      <c r="F7" s="6"/>
      <c r="G7" s="6"/>
      <c r="H7" s="6"/>
    </row>
    <row r="8" spans="1:8">
      <c r="A8" s="6"/>
      <c r="B8" s="6"/>
      <c r="C8" s="6"/>
      <c r="D8" s="6"/>
      <c r="E8" s="6"/>
      <c r="F8" s="6"/>
      <c r="G8" s="6"/>
      <c r="H8" s="6"/>
    </row>
    <row r="9" spans="1:8">
      <c r="A9" s="6"/>
      <c r="B9" s="6"/>
      <c r="C9" s="6"/>
      <c r="D9" s="6"/>
      <c r="E9" s="6"/>
      <c r="F9" s="6"/>
      <c r="G9" s="6"/>
      <c r="H9" s="6"/>
    </row>
    <row r="10" spans="1:8">
      <c r="A10" s="6"/>
      <c r="B10" s="6"/>
      <c r="C10" s="6"/>
      <c r="D10" s="6"/>
      <c r="E10" s="6"/>
      <c r="F10" s="6"/>
      <c r="G10" s="6"/>
      <c r="H10" s="6"/>
    </row>
    <row r="11" spans="1:8">
      <c r="A11" s="6"/>
      <c r="B11" s="6"/>
      <c r="C11" s="6"/>
      <c r="D11" s="6"/>
      <c r="E11" s="6"/>
      <c r="F11" s="6"/>
      <c r="G11" s="6"/>
      <c r="H11" s="6"/>
    </row>
    <row r="12" spans="1:8">
      <c r="A12" s="6"/>
      <c r="B12" s="6"/>
      <c r="C12" s="6"/>
      <c r="D12" s="6"/>
      <c r="E12" s="6"/>
      <c r="F12" s="6"/>
      <c r="G12" s="6"/>
      <c r="H12" s="6"/>
    </row>
    <row r="13" spans="1:8">
      <c r="A13" s="6"/>
      <c r="B13" s="6"/>
      <c r="C13" s="6"/>
      <c r="D13" s="6"/>
      <c r="E13" s="6"/>
      <c r="F13" s="6"/>
      <c r="G13" s="6"/>
      <c r="H13" s="6"/>
    </row>
    <row r="14" spans="1:8">
      <c r="A14" s="6"/>
      <c r="B14" s="6"/>
      <c r="C14" s="6"/>
      <c r="D14" s="6"/>
      <c r="E14" s="6"/>
      <c r="F14" s="6"/>
      <c r="G14" s="6"/>
      <c r="H14" s="6"/>
    </row>
    <row r="15" spans="1:8">
      <c r="A15" s="6"/>
      <c r="B15" s="6"/>
      <c r="C15" s="6"/>
      <c r="D15" s="6"/>
      <c r="E15" s="6"/>
      <c r="F15" s="6"/>
      <c r="G15" s="6"/>
      <c r="H15" s="6"/>
    </row>
    <row r="16" spans="1:8">
      <c r="A16" s="6"/>
      <c r="B16" s="6"/>
      <c r="C16" s="6"/>
      <c r="D16" s="6"/>
      <c r="E16" s="6"/>
      <c r="F16" s="6"/>
      <c r="G16" s="6"/>
      <c r="H16" s="6"/>
    </row>
    <row r="17" spans="1:8">
      <c r="A17" s="6"/>
      <c r="B17" s="6"/>
      <c r="C17" s="6"/>
      <c r="D17" s="6"/>
      <c r="E17" s="6"/>
      <c r="F17" s="6"/>
      <c r="G17" s="6"/>
      <c r="H17" s="6"/>
    </row>
    <row r="18" spans="1:8">
      <c r="A18" s="6"/>
      <c r="B18" s="6"/>
      <c r="C18" s="6"/>
      <c r="D18" s="6"/>
      <c r="E18" s="6"/>
      <c r="F18" s="6"/>
      <c r="G18" s="6"/>
      <c r="H18" s="6"/>
    </row>
    <row r="19" spans="1:8">
      <c r="A19" s="6"/>
      <c r="B19" s="6"/>
      <c r="C19" s="6"/>
      <c r="D19" s="6"/>
      <c r="E19" s="6"/>
      <c r="F19" s="6"/>
      <c r="G19" s="6"/>
      <c r="H19" s="6"/>
    </row>
    <row r="20" spans="1:8">
      <c r="A20" s="6"/>
      <c r="B20" s="6"/>
      <c r="C20" s="6"/>
      <c r="D20" s="6"/>
      <c r="E20" s="6"/>
      <c r="F20" s="6"/>
      <c r="G20" s="6"/>
      <c r="H20" s="6"/>
    </row>
    <row r="21" spans="1:8">
      <c r="A21" s="6"/>
      <c r="B21" s="6"/>
      <c r="C21" s="6"/>
      <c r="D21" s="6"/>
      <c r="E21" s="6"/>
      <c r="F21" s="6"/>
      <c r="G21" s="6"/>
      <c r="H21" s="6"/>
    </row>
    <row r="22" spans="1:8">
      <c r="A22" s="6"/>
      <c r="B22" s="6"/>
      <c r="C22" s="6"/>
      <c r="D22" s="6"/>
      <c r="E22" s="6"/>
      <c r="F22" s="6"/>
      <c r="G22" s="6"/>
      <c r="H22" s="6"/>
    </row>
    <row r="23" spans="1:8">
      <c r="A23" s="6"/>
      <c r="B23" s="6"/>
      <c r="C23" s="6"/>
      <c r="D23" s="6"/>
      <c r="E23" s="6"/>
      <c r="F23" s="6"/>
      <c r="G23" s="6"/>
      <c r="H23" s="6"/>
    </row>
    <row r="24" spans="1:8">
      <c r="A24" s="6"/>
      <c r="B24" s="6"/>
      <c r="C24" s="6"/>
      <c r="D24" s="6"/>
      <c r="E24" s="6"/>
      <c r="F24" s="6"/>
      <c r="G24" s="6"/>
      <c r="H24" s="6"/>
    </row>
    <row r="25" spans="1:8">
      <c r="A25" s="6"/>
      <c r="B25" s="6"/>
      <c r="C25" s="6"/>
      <c r="D25" s="6"/>
      <c r="E25" s="6"/>
      <c r="F25" s="6"/>
      <c r="G25" s="6"/>
      <c r="H25" s="6"/>
    </row>
    <row r="26" spans="1:8">
      <c r="A26" s="6"/>
      <c r="B26" s="6"/>
      <c r="C26" s="6"/>
      <c r="D26" s="6"/>
      <c r="E26" s="6"/>
      <c r="F26" s="6"/>
      <c r="G26" s="6"/>
      <c r="H26" s="6"/>
    </row>
    <row r="27" spans="1:8">
      <c r="A27" s="6"/>
      <c r="B27" s="6"/>
      <c r="C27" s="6"/>
      <c r="D27" s="6"/>
      <c r="E27" s="6"/>
      <c r="F27" s="6"/>
      <c r="G27" s="6"/>
      <c r="H27" s="6"/>
    </row>
    <row r="28" spans="1:8">
      <c r="A28" s="6"/>
      <c r="B28" s="6"/>
      <c r="C28" s="6"/>
      <c r="D28" s="6"/>
      <c r="E28" s="6"/>
      <c r="F28" s="6"/>
      <c r="G28" s="6"/>
      <c r="H28" s="6"/>
    </row>
    <row r="29" spans="1:8">
      <c r="A29" s="6"/>
      <c r="B29" s="6"/>
      <c r="C29" s="6"/>
      <c r="D29" s="6"/>
      <c r="E29" s="6"/>
      <c r="F29" s="6"/>
      <c r="G29" s="6"/>
      <c r="H29" s="6"/>
    </row>
    <row r="30" spans="1:8">
      <c r="A30" s="6"/>
      <c r="B30" s="6"/>
      <c r="C30" s="6"/>
      <c r="D30" s="6"/>
      <c r="E30" s="6"/>
      <c r="F30" s="6"/>
      <c r="G30" s="6"/>
      <c r="H30" s="6"/>
    </row>
    <row r="31" spans="1:8">
      <c r="A31" s="6"/>
      <c r="B31" s="6"/>
      <c r="C31" s="6"/>
      <c r="D31" s="6"/>
      <c r="E31" s="6"/>
      <c r="F31" s="6"/>
      <c r="G31" s="6"/>
      <c r="H31" s="6"/>
    </row>
  </sheetData>
  <autoFilter xmlns:etc="http://www.wps.cn/officeDocument/2017/etCustomData" ref="A1:H31" etc:filterBottomFollowUsedRange="0">
    <extLst/>
  </autoFilter>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selection activeCell="A1" sqref="A1:B1"/>
    </sheetView>
  </sheetViews>
  <sheetFormatPr defaultColWidth="9" defaultRowHeight="14.4" outlineLevelCol="1"/>
  <cols>
    <col min="1" max="1" width="26.712962962963" customWidth="1"/>
    <col min="2" max="2" width="76.712962962963" customWidth="1"/>
  </cols>
  <sheetData>
    <row r="1" ht="20.4" spans="1:2">
      <c r="A1" s="1" t="s">
        <v>558</v>
      </c>
    </row>
    <row r="2" spans="1:2">
      <c r="A2" s="2" t="s">
        <v>559</v>
      </c>
      <c r="B2" s="3" t="s">
        <v>560</v>
      </c>
    </row>
    <row r="3" spans="1:2">
      <c r="A3" s="2" t="s">
        <v>561</v>
      </c>
      <c r="B3" s="4" t="s">
        <v>562</v>
      </c>
    </row>
    <row r="4" spans="1:2">
      <c r="A4" s="2" t="s">
        <v>563</v>
      </c>
      <c r="B4" s="4" t="s">
        <v>564</v>
      </c>
    </row>
    <row r="5" spans="1:2">
      <c r="A5" s="2" t="s">
        <v>565</v>
      </c>
      <c r="B5" s="4" t="s">
        <v>566</v>
      </c>
    </row>
    <row r="6" spans="1:2">
      <c r="A6" s="2" t="s">
        <v>289</v>
      </c>
      <c r="B6" s="4" t="s">
        <v>564</v>
      </c>
    </row>
    <row r="7" spans="1:2">
      <c r="A7" s="2" t="s">
        <v>567</v>
      </c>
      <c r="B7" s="4" t="s">
        <v>564</v>
      </c>
    </row>
    <row r="8" spans="1:2">
      <c r="A8" s="2" t="s">
        <v>568</v>
      </c>
      <c r="B8" s="4" t="s">
        <v>564</v>
      </c>
    </row>
    <row r="9" spans="1:2">
      <c r="A9" s="2" t="s">
        <v>569</v>
      </c>
      <c r="B9" s="4" t="s">
        <v>570</v>
      </c>
    </row>
    <row r="10" spans="1:2">
      <c r="A10" s="2" t="s">
        <v>571</v>
      </c>
      <c r="B10" s="3" t="s">
        <v>572</v>
      </c>
    </row>
  </sheetData>
  <mergeCells count="1">
    <mergeCell ref="A1:B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使用说明</vt:lpstr>
      <vt:lpstr>专家登记</vt:lpstr>
      <vt:lpstr>条目编码本</vt:lpstr>
      <vt:lpstr>第一轮录入</vt:lpstr>
      <vt:lpstr>前瞻判断</vt:lpstr>
      <vt:lpstr>第一轮结果</vt:lpstr>
      <vt:lpstr>条目修订日志</vt:lpstr>
      <vt:lpstr>第二轮录入</vt:lpstr>
      <vt:lpstr>实施日志</vt:lpstr>
      <vt:lpstr>论文结果模板</vt:lpstr>
    </vt:vector>
  </TitlesOfParts>
</Properties>
</file>

<file path=docProps/core.xml><?xml version="1.0" encoding="utf-8"?>
<ns0:coreProperties xmlns:dc="http://purl.org/dc/elements/1.1/" xmlns:ns0="http://schemas.openxmlformats.org/package/2006/metadata/core-properties" xmlns:ns2="http://purl.org/dc/terms/" xmlns:xsi="http://www.w3.org/2001/XMLSchema-instance">
  <dc:title>AI应用服务课程专家验证数据与分析</dc:title>
  <dc:subject>12名专家两轮修订式德尔菲</dc:subject>
  <dc:creator/>
  <dc:description>不含专家姓名与联系方式</dc:description>
  <ns0:lastModifiedBy/>
  <ns2:created xsi:type="dcterms:W3CDTF">2026-10-08T05:27:00Z</ns2:created>
  <ns2:modified xsi:type="dcterms:W3CDTF">2026-10-09T15:02:12Z</ns2:modified>
</ns0: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2052-12.1.0.28802</vt:lpwstr>
  </property>
  <property fmtid="{D5CDD505-2E9C-101B-9397-08002B2CF9AE}" pid="3" name="CalculationRule">
    <vt:i4>0</vt:i4>
  </property>
  <property fmtid="{D5CDD505-2E9C-101B-9397-08002B2CF9AE}" pid="4" name="ICV">
    <vt:lpwstr>33EBDD598F56469D9CB8113295A73049_12</vt:lpwstr>
  </property>
</Properties>
</file>